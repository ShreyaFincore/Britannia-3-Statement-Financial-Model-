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Sakhare\OneDrive\Documents\ACTUAL FM\"/>
    </mc:Choice>
  </mc:AlternateContent>
  <xr:revisionPtr revIDLastSave="0" documentId="13_ncr:1_{C41F42EE-ED64-4953-ABF8-2DBE7E4245F3}" xr6:coauthVersionLast="47" xr6:coauthVersionMax="47" xr10:uidLastSave="{00000000-0000-0000-0000-000000000000}"/>
  <bookViews>
    <workbookView xWindow="-108" yWindow="-108" windowWidth="23256" windowHeight="12456" tabRatio="797" xr2:uid="{44FD53E8-34F3-4D3A-B968-550E6549B908}"/>
  </bookViews>
  <sheets>
    <sheet name="Dashboard" sheetId="2" r:id="rId1"/>
    <sheet name="About" sheetId="27" r:id="rId2"/>
    <sheet name="Balance Sheet" sheetId="3" r:id="rId3"/>
    <sheet name="Income Statement" sheetId="1" r:id="rId4"/>
    <sheet name="CFS" sheetId="4" r:id="rId5"/>
    <sheet name="RATIO ANALYSIS" sheetId="24" r:id="rId6"/>
    <sheet name="Assumption Sheet" sheetId="12" r:id="rId7"/>
    <sheet name="Revenue Schedule" sheetId="7" r:id="rId8"/>
    <sheet name="Cost Schedule " sheetId="10" r:id="rId9"/>
    <sheet name="Asset Schedule" sheetId="11" r:id="rId10"/>
    <sheet name="Sheet1" sheetId="28" r:id="rId11"/>
    <sheet name="Debt Schedule" sheetId="16" r:id="rId12"/>
    <sheet name="Working Capital Schedule" sheetId="19" r:id="rId13"/>
    <sheet name="Other Schedule" sheetId="21" r:id="rId14"/>
    <sheet name="DCF" sheetId="23" r:id="rId15"/>
  </sheets>
  <definedNames>
    <definedName name="_xlnm.Print_Area" localSheetId="2">'Balance Sheet'!$B$50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0" l="1"/>
  <c r="J42" i="10"/>
  <c r="J41" i="10"/>
  <c r="C33" i="10"/>
  <c r="C32" i="10"/>
  <c r="J15" i="10"/>
  <c r="J18" i="10"/>
  <c r="C15" i="10"/>
  <c r="J7" i="1"/>
  <c r="K13" i="7"/>
  <c r="J8" i="7"/>
  <c r="H8" i="7"/>
  <c r="I8" i="7"/>
  <c r="D8" i="7"/>
  <c r="J49" i="3"/>
  <c r="C7" i="4" l="1"/>
  <c r="C22" i="4" s="1"/>
  <c r="C25" i="4" s="1"/>
  <c r="D27" i="1"/>
  <c r="C32" i="1"/>
  <c r="C27" i="1"/>
  <c r="C25" i="1"/>
  <c r="C17" i="24" s="1"/>
  <c r="E53" i="24"/>
  <c r="D53" i="24"/>
  <c r="F53" i="24"/>
  <c r="G53" i="24"/>
  <c r="H53" i="24"/>
  <c r="I53" i="24"/>
  <c r="S8" i="24"/>
  <c r="S9" i="24"/>
  <c r="S10" i="24"/>
  <c r="C15" i="24"/>
  <c r="D15" i="24"/>
  <c r="E15" i="24"/>
  <c r="F15" i="24"/>
  <c r="G15" i="24"/>
  <c r="H15" i="24"/>
  <c r="D16" i="24"/>
  <c r="E16" i="24"/>
  <c r="F16" i="24"/>
  <c r="G16" i="24"/>
  <c r="H16" i="24"/>
  <c r="D17" i="24"/>
  <c r="E17" i="24"/>
  <c r="F17" i="24"/>
  <c r="G17" i="24"/>
  <c r="H17" i="24"/>
  <c r="D18" i="24"/>
  <c r="E18" i="24"/>
  <c r="F18" i="24"/>
  <c r="G18" i="24"/>
  <c r="H18" i="24"/>
  <c r="D19" i="24"/>
  <c r="E19" i="24"/>
  <c r="F19" i="24"/>
  <c r="G19" i="24"/>
  <c r="H19" i="24"/>
  <c r="C22" i="24"/>
  <c r="D22" i="24"/>
  <c r="E22" i="24"/>
  <c r="F22" i="24"/>
  <c r="G22" i="24"/>
  <c r="H22" i="24"/>
  <c r="C23" i="24"/>
  <c r="D23" i="24"/>
  <c r="E23" i="24"/>
  <c r="F23" i="24"/>
  <c r="G23" i="24"/>
  <c r="H23" i="24"/>
  <c r="C26" i="24"/>
  <c r="D26" i="24"/>
  <c r="S26" i="24" s="1"/>
  <c r="E26" i="24"/>
  <c r="F26" i="24"/>
  <c r="G26" i="24"/>
  <c r="H26" i="24"/>
  <c r="C27" i="24"/>
  <c r="D27" i="24"/>
  <c r="S27" i="24" s="1"/>
  <c r="E27" i="24"/>
  <c r="F27" i="24"/>
  <c r="G27" i="24"/>
  <c r="H27" i="24"/>
  <c r="C28" i="24"/>
  <c r="D28" i="24"/>
  <c r="E28" i="24"/>
  <c r="S28" i="24" s="1"/>
  <c r="F28" i="24"/>
  <c r="G28" i="24"/>
  <c r="H28" i="24"/>
  <c r="I15" i="24"/>
  <c r="I16" i="24"/>
  <c r="I17" i="24"/>
  <c r="I18" i="24"/>
  <c r="I19" i="24"/>
  <c r="E47" i="24"/>
  <c r="F47" i="24"/>
  <c r="G47" i="24"/>
  <c r="H47" i="24"/>
  <c r="E46" i="24"/>
  <c r="F46" i="24"/>
  <c r="G46" i="24"/>
  <c r="H46" i="24"/>
  <c r="I46" i="24"/>
  <c r="D46" i="24"/>
  <c r="D45" i="24"/>
  <c r="E45" i="24"/>
  <c r="F45" i="24"/>
  <c r="G45" i="24"/>
  <c r="H45" i="24"/>
  <c r="I45" i="24"/>
  <c r="H44" i="24"/>
  <c r="I44" i="24"/>
  <c r="D52" i="24"/>
  <c r="E52" i="24"/>
  <c r="E44" i="24" s="1"/>
  <c r="F52" i="24"/>
  <c r="F44" i="24" s="1"/>
  <c r="G52" i="24"/>
  <c r="H52" i="24"/>
  <c r="I47" i="24" s="1"/>
  <c r="I52" i="24"/>
  <c r="J47" i="24" s="1"/>
  <c r="D50" i="24"/>
  <c r="E51" i="24" s="1"/>
  <c r="E50" i="24"/>
  <c r="F50" i="24"/>
  <c r="F51" i="24" s="1"/>
  <c r="G50" i="24"/>
  <c r="H50" i="24"/>
  <c r="H51" i="24" s="1"/>
  <c r="I50" i="24"/>
  <c r="I51" i="24" s="1"/>
  <c r="C50" i="24"/>
  <c r="E41" i="24"/>
  <c r="F41" i="24"/>
  <c r="G41" i="24"/>
  <c r="H41" i="24"/>
  <c r="I41" i="24"/>
  <c r="D41" i="24"/>
  <c r="E40" i="24"/>
  <c r="F40" i="24"/>
  <c r="G40" i="24"/>
  <c r="H40" i="24"/>
  <c r="I40" i="24"/>
  <c r="D40" i="24"/>
  <c r="D39" i="24"/>
  <c r="E39" i="24"/>
  <c r="F39" i="24"/>
  <c r="G39" i="24"/>
  <c r="H39" i="24"/>
  <c r="I39" i="24"/>
  <c r="E32" i="19"/>
  <c r="E45" i="19"/>
  <c r="E34" i="24"/>
  <c r="F45" i="19"/>
  <c r="F34" i="24" s="1"/>
  <c r="G45" i="19"/>
  <c r="G34" i="24" s="1"/>
  <c r="H45" i="19"/>
  <c r="I45" i="19"/>
  <c r="D43" i="19"/>
  <c r="D45" i="19"/>
  <c r="D35" i="24"/>
  <c r="E35" i="24"/>
  <c r="F35" i="24"/>
  <c r="G35" i="24"/>
  <c r="H35" i="24"/>
  <c r="I35" i="24"/>
  <c r="J35" i="24"/>
  <c r="J36" i="24" s="1"/>
  <c r="K35" i="24"/>
  <c r="L35" i="24"/>
  <c r="M35" i="24"/>
  <c r="N35" i="24"/>
  <c r="N36" i="24" s="1"/>
  <c r="O35" i="24"/>
  <c r="P35" i="24"/>
  <c r="P36" i="24" s="1"/>
  <c r="C35" i="24"/>
  <c r="D34" i="24"/>
  <c r="H34" i="24"/>
  <c r="I34" i="24"/>
  <c r="J34" i="24"/>
  <c r="K34" i="24"/>
  <c r="L34" i="24"/>
  <c r="M34" i="24"/>
  <c r="N34" i="24"/>
  <c r="O34" i="24"/>
  <c r="P34" i="24"/>
  <c r="C34" i="24"/>
  <c r="S34" i="24" s="1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C33" i="24"/>
  <c r="S33" i="24" s="1"/>
  <c r="D29" i="24"/>
  <c r="E29" i="24"/>
  <c r="F29" i="24"/>
  <c r="G29" i="24"/>
  <c r="H29" i="24"/>
  <c r="I29" i="24"/>
  <c r="C29" i="24"/>
  <c r="I28" i="24"/>
  <c r="J28" i="24"/>
  <c r="K28" i="24"/>
  <c r="L28" i="24"/>
  <c r="M28" i="24"/>
  <c r="N28" i="24"/>
  <c r="O28" i="24"/>
  <c r="P28" i="24"/>
  <c r="I27" i="24"/>
  <c r="J27" i="24"/>
  <c r="K27" i="24"/>
  <c r="L27" i="24"/>
  <c r="M27" i="24"/>
  <c r="N27" i="24"/>
  <c r="O27" i="24"/>
  <c r="P27" i="24"/>
  <c r="I26" i="24"/>
  <c r="J26" i="24"/>
  <c r="K26" i="24"/>
  <c r="L26" i="24"/>
  <c r="M26" i="24"/>
  <c r="N26" i="24"/>
  <c r="O26" i="24"/>
  <c r="P26" i="24"/>
  <c r="I23" i="24"/>
  <c r="I22" i="24"/>
  <c r="E11" i="24"/>
  <c r="F11" i="24"/>
  <c r="G11" i="24"/>
  <c r="H11" i="24"/>
  <c r="I11" i="24"/>
  <c r="E7" i="1"/>
  <c r="D7" i="1"/>
  <c r="D7" i="24"/>
  <c r="E7" i="24"/>
  <c r="F7" i="24"/>
  <c r="G7" i="24"/>
  <c r="H7" i="24"/>
  <c r="I7" i="24"/>
  <c r="J7" i="24"/>
  <c r="C7" i="24"/>
  <c r="I57" i="23"/>
  <c r="I54" i="23"/>
  <c r="I53" i="23"/>
  <c r="I52" i="23"/>
  <c r="I37" i="23"/>
  <c r="O8" i="23"/>
  <c r="O26" i="23" s="1"/>
  <c r="I31" i="23"/>
  <c r="I36" i="23" s="1"/>
  <c r="J30" i="23"/>
  <c r="I30" i="23"/>
  <c r="I33" i="23" s="1"/>
  <c r="J25" i="23"/>
  <c r="I25" i="23"/>
  <c r="I18" i="23"/>
  <c r="I19" i="23" s="1"/>
  <c r="I22" i="23" s="1"/>
  <c r="I12" i="23"/>
  <c r="J13" i="23"/>
  <c r="I13" i="23"/>
  <c r="J11" i="23"/>
  <c r="I11" i="23"/>
  <c r="K8" i="23"/>
  <c r="K26" i="23" s="1"/>
  <c r="L8" i="23"/>
  <c r="L26" i="23" s="1"/>
  <c r="M8" i="23"/>
  <c r="M26" i="23" s="1"/>
  <c r="N8" i="23"/>
  <c r="N26" i="23" s="1"/>
  <c r="P8" i="23"/>
  <c r="P26" i="23" s="1"/>
  <c r="I7" i="23"/>
  <c r="D71" i="3"/>
  <c r="E71" i="3"/>
  <c r="F71" i="3"/>
  <c r="G71" i="3"/>
  <c r="H71" i="3"/>
  <c r="I71" i="3"/>
  <c r="C71" i="3"/>
  <c r="J21" i="3"/>
  <c r="I64" i="4"/>
  <c r="I61" i="4"/>
  <c r="J59" i="4"/>
  <c r="K14" i="4"/>
  <c r="L14" i="4"/>
  <c r="M14" i="4"/>
  <c r="N14" i="4"/>
  <c r="O14" i="4"/>
  <c r="P14" i="4"/>
  <c r="J14" i="4"/>
  <c r="J46" i="16"/>
  <c r="J47" i="16"/>
  <c r="J44" i="16"/>
  <c r="J55" i="4"/>
  <c r="J49" i="4"/>
  <c r="J9" i="4"/>
  <c r="J20" i="1"/>
  <c r="J8" i="3"/>
  <c r="J20" i="10"/>
  <c r="J12" i="3"/>
  <c r="J10" i="3"/>
  <c r="J9" i="3"/>
  <c r="J64" i="3"/>
  <c r="J50" i="3"/>
  <c r="J51" i="3"/>
  <c r="J52" i="3"/>
  <c r="J53" i="3"/>
  <c r="J15" i="16"/>
  <c r="J60" i="3"/>
  <c r="K60" i="3"/>
  <c r="L60" i="3"/>
  <c r="M60" i="3" s="1"/>
  <c r="N60" i="3" s="1"/>
  <c r="O60" i="3" s="1"/>
  <c r="P60" i="3" s="1"/>
  <c r="J22" i="11"/>
  <c r="J12" i="11"/>
  <c r="J18" i="11"/>
  <c r="D17" i="11"/>
  <c r="C16" i="11"/>
  <c r="C12" i="11"/>
  <c r="E12" i="11"/>
  <c r="C10" i="10"/>
  <c r="L13" i="7"/>
  <c r="M13" i="7" s="1"/>
  <c r="N13" i="7" s="1"/>
  <c r="O13" i="7" s="1"/>
  <c r="P13" i="7" s="1"/>
  <c r="J13" i="7"/>
  <c r="J40" i="3"/>
  <c r="I25" i="4"/>
  <c r="J33" i="3"/>
  <c r="K33" i="3" s="1"/>
  <c r="L33" i="3" s="1"/>
  <c r="M33" i="3" s="1"/>
  <c r="N33" i="3" s="1"/>
  <c r="O33" i="3" s="1"/>
  <c r="P33" i="3" s="1"/>
  <c r="J29" i="3"/>
  <c r="K29" i="3" s="1"/>
  <c r="L29" i="3" s="1"/>
  <c r="M29" i="3" s="1"/>
  <c r="N29" i="3" s="1"/>
  <c r="O29" i="3" s="1"/>
  <c r="P29" i="3" s="1"/>
  <c r="I49" i="1"/>
  <c r="I42" i="1"/>
  <c r="C52" i="24" l="1"/>
  <c r="D47" i="24" s="1"/>
  <c r="D11" i="24"/>
  <c r="C18" i="24"/>
  <c r="C36" i="24"/>
  <c r="O36" i="24"/>
  <c r="M36" i="24"/>
  <c r="L36" i="24"/>
  <c r="D36" i="24"/>
  <c r="S35" i="24"/>
  <c r="K36" i="24"/>
  <c r="D51" i="24"/>
  <c r="D44" i="24" s="1"/>
  <c r="G36" i="24"/>
  <c r="F36" i="24"/>
  <c r="I36" i="24"/>
  <c r="E36" i="24"/>
  <c r="G51" i="24"/>
  <c r="G44" i="24" s="1"/>
  <c r="H36" i="24"/>
  <c r="I35" i="23"/>
  <c r="H13" i="21"/>
  <c r="H11" i="21" s="1"/>
  <c r="E17" i="21"/>
  <c r="E24" i="21"/>
  <c r="F24" i="21"/>
  <c r="F17" i="21" s="1"/>
  <c r="E23" i="21"/>
  <c r="F22" i="21" s="1"/>
  <c r="F23" i="21"/>
  <c r="G22" i="21" s="1"/>
  <c r="G24" i="21" s="1"/>
  <c r="G17" i="21" s="1"/>
  <c r="G23" i="21"/>
  <c r="H22" i="21" s="1"/>
  <c r="H24" i="21" s="1"/>
  <c r="H17" i="21" s="1"/>
  <c r="H23" i="21"/>
  <c r="I22" i="21" s="1"/>
  <c r="D23" i="21"/>
  <c r="E22" i="21" s="1"/>
  <c r="C23" i="21"/>
  <c r="D22" i="21" s="1"/>
  <c r="D24" i="21" s="1"/>
  <c r="D17" i="21" s="1"/>
  <c r="F16" i="21"/>
  <c r="G16" i="21"/>
  <c r="D13" i="21"/>
  <c r="D11" i="21" s="1"/>
  <c r="E13" i="21"/>
  <c r="F13" i="21"/>
  <c r="F11" i="21" s="1"/>
  <c r="G13" i="21"/>
  <c r="G11" i="21" s="1"/>
  <c r="C13" i="21"/>
  <c r="C11" i="21" s="1"/>
  <c r="D10" i="21"/>
  <c r="D16" i="21" s="1"/>
  <c r="E10" i="21"/>
  <c r="E16" i="21" s="1"/>
  <c r="F10" i="21"/>
  <c r="G10" i="21"/>
  <c r="H10" i="21"/>
  <c r="H16" i="21" s="1"/>
  <c r="I10" i="21"/>
  <c r="I16" i="21" s="1"/>
  <c r="C10" i="21"/>
  <c r="C16" i="21" s="1"/>
  <c r="S36" i="24" l="1"/>
  <c r="E11" i="21"/>
  <c r="L59" i="19" l="1"/>
  <c r="K59" i="19"/>
  <c r="M59" i="19"/>
  <c r="N59" i="19"/>
  <c r="O59" i="19"/>
  <c r="P59" i="19"/>
  <c r="K45" i="19"/>
  <c r="L45" i="19"/>
  <c r="M45" i="19"/>
  <c r="N45" i="19"/>
  <c r="O45" i="19"/>
  <c r="P45" i="19"/>
  <c r="D41" i="19"/>
  <c r="E41" i="19"/>
  <c r="F41" i="19"/>
  <c r="G41" i="19"/>
  <c r="H41" i="19"/>
  <c r="I41" i="19"/>
  <c r="C41" i="19"/>
  <c r="I52" i="19"/>
  <c r="I37" i="19" s="1"/>
  <c r="C52" i="19"/>
  <c r="C37" i="19" s="1"/>
  <c r="D49" i="19"/>
  <c r="E49" i="19"/>
  <c r="F49" i="19"/>
  <c r="G49" i="19"/>
  <c r="H49" i="19"/>
  <c r="I49" i="19"/>
  <c r="I56" i="19" s="1"/>
  <c r="D50" i="19"/>
  <c r="E50" i="19"/>
  <c r="F50" i="19"/>
  <c r="G50" i="19"/>
  <c r="H50" i="19"/>
  <c r="I50" i="19"/>
  <c r="I57" i="19" s="1"/>
  <c r="C50" i="19"/>
  <c r="C57" i="19" s="1"/>
  <c r="C49" i="19"/>
  <c r="C56" i="19" s="1"/>
  <c r="E26" i="19"/>
  <c r="G26" i="19"/>
  <c r="H26" i="19"/>
  <c r="I26" i="19"/>
  <c r="D24" i="19"/>
  <c r="E24" i="19"/>
  <c r="F26" i="19" s="1"/>
  <c r="F24" i="19"/>
  <c r="G24" i="19"/>
  <c r="H24" i="19"/>
  <c r="I24" i="19"/>
  <c r="C24" i="19"/>
  <c r="D26" i="19" s="1"/>
  <c r="E11" i="19"/>
  <c r="D11" i="19"/>
  <c r="F11" i="19"/>
  <c r="G11" i="19"/>
  <c r="H11" i="19"/>
  <c r="I13" i="19" s="1"/>
  <c r="I11" i="19"/>
  <c r="C11" i="19"/>
  <c r="D56" i="19" l="1"/>
  <c r="I59" i="19"/>
  <c r="F56" i="19"/>
  <c r="C59" i="19"/>
  <c r="H56" i="19"/>
  <c r="H13" i="19"/>
  <c r="G13" i="19"/>
  <c r="H52" i="19"/>
  <c r="G52" i="19"/>
  <c r="F52" i="19"/>
  <c r="E52" i="19"/>
  <c r="E56" i="19" s="1"/>
  <c r="D13" i="19"/>
  <c r="D52" i="19"/>
  <c r="F13" i="19"/>
  <c r="E13" i="19"/>
  <c r="F37" i="19" l="1"/>
  <c r="G39" i="19"/>
  <c r="G43" i="19" s="1"/>
  <c r="F57" i="19"/>
  <c r="F59" i="19" s="1"/>
  <c r="G37" i="19"/>
  <c r="H39" i="19"/>
  <c r="H43" i="19" s="1"/>
  <c r="H37" i="19"/>
  <c r="I39" i="19"/>
  <c r="I43" i="19" s="1"/>
  <c r="H57" i="19"/>
  <c r="H59" i="19"/>
  <c r="G57" i="19"/>
  <c r="E37" i="19"/>
  <c r="E57" i="19"/>
  <c r="E59" i="19" s="1"/>
  <c r="F39" i="19"/>
  <c r="F43" i="19" s="1"/>
  <c r="D37" i="19"/>
  <c r="E39" i="19"/>
  <c r="E43" i="19" s="1"/>
  <c r="D39" i="19"/>
  <c r="D57" i="19"/>
  <c r="D59" i="19" s="1"/>
  <c r="G56" i="19"/>
  <c r="G59" i="19" s="1"/>
  <c r="J57" i="19" l="1"/>
  <c r="J43" i="19"/>
  <c r="J56" i="19"/>
  <c r="J59" i="19" s="1"/>
  <c r="K32" i="19"/>
  <c r="J45" i="19" l="1"/>
  <c r="M32" i="19"/>
  <c r="L32" i="19"/>
  <c r="N32" i="19" l="1"/>
  <c r="O32" i="19" l="1"/>
  <c r="P32" i="19"/>
  <c r="K30" i="12" l="1"/>
  <c r="L30" i="12"/>
  <c r="M30" i="12"/>
  <c r="N30" i="12"/>
  <c r="O30" i="12"/>
  <c r="P30" i="12"/>
  <c r="K28" i="12"/>
  <c r="L28" i="12"/>
  <c r="M28" i="12"/>
  <c r="N28" i="12"/>
  <c r="O28" i="12"/>
  <c r="P28" i="12"/>
  <c r="C28" i="12"/>
  <c r="I30" i="16"/>
  <c r="C30" i="16"/>
  <c r="I15" i="16"/>
  <c r="J10" i="16" s="1"/>
  <c r="D30" i="16"/>
  <c r="E30" i="16"/>
  <c r="F30" i="16"/>
  <c r="G30" i="16"/>
  <c r="H30" i="16"/>
  <c r="G36" i="16"/>
  <c r="H36" i="16"/>
  <c r="C35" i="16"/>
  <c r="I46" i="16"/>
  <c r="I42" i="16"/>
  <c r="D41" i="16"/>
  <c r="D35" i="16" s="1"/>
  <c r="D44" i="16"/>
  <c r="E41" i="16" s="1"/>
  <c r="E44" i="16"/>
  <c r="F41" i="16" s="1"/>
  <c r="F44" i="16"/>
  <c r="G41" i="16" s="1"/>
  <c r="G44" i="16"/>
  <c r="H41" i="16" s="1"/>
  <c r="H44" i="16"/>
  <c r="I41" i="16" s="1"/>
  <c r="I35" i="16" s="1"/>
  <c r="I44" i="16"/>
  <c r="J41" i="16" s="1"/>
  <c r="C44" i="16"/>
  <c r="C36" i="16" s="1"/>
  <c r="C37" i="16" s="1"/>
  <c r="D46" i="16"/>
  <c r="D42" i="16" s="1"/>
  <c r="D43" i="16" s="1"/>
  <c r="E46" i="16"/>
  <c r="E42" i="16" s="1"/>
  <c r="F46" i="16"/>
  <c r="F42" i="16" s="1"/>
  <c r="G46" i="16"/>
  <c r="H46" i="16"/>
  <c r="C46" i="16"/>
  <c r="C42" i="16" s="1"/>
  <c r="C43" i="16" s="1"/>
  <c r="D15" i="16"/>
  <c r="E10" i="16" s="1"/>
  <c r="E15" i="16"/>
  <c r="F15" i="16"/>
  <c r="G10" i="16" s="1"/>
  <c r="G15" i="16"/>
  <c r="H15" i="16"/>
  <c r="D25" i="16"/>
  <c r="D12" i="16" s="1"/>
  <c r="E25" i="16"/>
  <c r="F25" i="16"/>
  <c r="F12" i="16" s="1"/>
  <c r="G25" i="16"/>
  <c r="H25" i="16"/>
  <c r="H26" i="16" s="1"/>
  <c r="H28" i="12" s="1"/>
  <c r="I25" i="16"/>
  <c r="I12" i="16" s="1"/>
  <c r="C25" i="16"/>
  <c r="C12" i="16" s="1"/>
  <c r="H11" i="16"/>
  <c r="K26" i="12"/>
  <c r="L26" i="12"/>
  <c r="M26" i="12"/>
  <c r="N26" i="12"/>
  <c r="O26" i="12"/>
  <c r="P26" i="12"/>
  <c r="C19" i="12"/>
  <c r="D19" i="16"/>
  <c r="D11" i="16" s="1"/>
  <c r="E19" i="16"/>
  <c r="F19" i="16"/>
  <c r="G19" i="16"/>
  <c r="G11" i="16" s="1"/>
  <c r="H19" i="16"/>
  <c r="I19" i="16"/>
  <c r="I11" i="16" s="1"/>
  <c r="C19" i="16"/>
  <c r="C11" i="16" s="1"/>
  <c r="F10" i="16"/>
  <c r="F26" i="16" s="1"/>
  <c r="F28" i="12" s="1"/>
  <c r="H10" i="16"/>
  <c r="H35" i="16" s="1"/>
  <c r="H37" i="16" s="1"/>
  <c r="H31" i="16" s="1"/>
  <c r="H30" i="12" s="1"/>
  <c r="I10" i="16"/>
  <c r="I26" i="16" s="1"/>
  <c r="I28" i="12" s="1"/>
  <c r="C15" i="16"/>
  <c r="D10" i="16" s="1"/>
  <c r="D26" i="16" s="1"/>
  <c r="D28" i="12" s="1"/>
  <c r="C31" i="16" l="1"/>
  <c r="G35" i="16"/>
  <c r="G37" i="16" s="1"/>
  <c r="G31" i="16" s="1"/>
  <c r="G30" i="12" s="1"/>
  <c r="C30" i="12"/>
  <c r="E35" i="16"/>
  <c r="E37" i="16" s="1"/>
  <c r="E31" i="16" s="1"/>
  <c r="E30" i="12" s="1"/>
  <c r="J42" i="16"/>
  <c r="I47" i="16"/>
  <c r="E26" i="16"/>
  <c r="E28" i="12" s="1"/>
  <c r="H47" i="16"/>
  <c r="F36" i="16"/>
  <c r="G26" i="16"/>
  <c r="G28" i="12" s="1"/>
  <c r="D14" i="16"/>
  <c r="G47" i="16"/>
  <c r="E36" i="16"/>
  <c r="H14" i="16"/>
  <c r="F35" i="16"/>
  <c r="F37" i="16" s="1"/>
  <c r="F31" i="16" s="1"/>
  <c r="F30" i="12" s="1"/>
  <c r="D36" i="16"/>
  <c r="D37" i="16" s="1"/>
  <c r="D31" i="16" s="1"/>
  <c r="G14" i="16"/>
  <c r="D47" i="16"/>
  <c r="E47" i="16"/>
  <c r="H12" i="16"/>
  <c r="G42" i="16"/>
  <c r="G43" i="16" s="1"/>
  <c r="G12" i="16"/>
  <c r="I14" i="16"/>
  <c r="H42" i="16"/>
  <c r="H43" i="16" s="1"/>
  <c r="E12" i="16"/>
  <c r="F47" i="16"/>
  <c r="I36" i="16"/>
  <c r="I37" i="16" s="1"/>
  <c r="I31" i="16" s="1"/>
  <c r="I30" i="12" s="1"/>
  <c r="J35" i="16"/>
  <c r="I43" i="16"/>
  <c r="F43" i="16"/>
  <c r="E43" i="16"/>
  <c r="F11" i="16"/>
  <c r="F14" i="16" s="1"/>
  <c r="E11" i="16"/>
  <c r="E14" i="16" s="1"/>
  <c r="D30" i="12" l="1"/>
  <c r="J31" i="16"/>
  <c r="J30" i="12" s="1"/>
  <c r="J26" i="16"/>
  <c r="J28" i="12" l="1"/>
  <c r="J25" i="16"/>
  <c r="J12" i="16" s="1"/>
  <c r="J54" i="4" s="1"/>
  <c r="K41" i="16"/>
  <c r="K46" i="16" l="1"/>
  <c r="K42" i="16" s="1"/>
  <c r="K55" i="4" s="1"/>
  <c r="K44" i="16"/>
  <c r="K64" i="3" s="1"/>
  <c r="L41" i="16" l="1"/>
  <c r="L46" i="16" s="1"/>
  <c r="L42" i="16" s="1"/>
  <c r="L44" i="16" l="1"/>
  <c r="L64" i="3" s="1"/>
  <c r="L55" i="4"/>
  <c r="M41" i="16" l="1"/>
  <c r="M46" i="16" s="1"/>
  <c r="M42" i="16" s="1"/>
  <c r="M44" i="16" l="1"/>
  <c r="M64" i="3" s="1"/>
  <c r="M55" i="4"/>
  <c r="N41" i="16" l="1"/>
  <c r="N46" i="16" s="1"/>
  <c r="N42" i="16" s="1"/>
  <c r="N44" i="16" l="1"/>
  <c r="N64" i="3" s="1"/>
  <c r="N55" i="4"/>
  <c r="O41" i="16" l="1"/>
  <c r="O46" i="16" s="1"/>
  <c r="O42" i="16" s="1"/>
  <c r="O44" i="16" l="1"/>
  <c r="O64" i="3" s="1"/>
  <c r="O55" i="4"/>
  <c r="P41" i="16" l="1"/>
  <c r="P46" i="16" s="1"/>
  <c r="P42" i="16" s="1"/>
  <c r="P44" i="16" l="1"/>
  <c r="P64" i="3" s="1"/>
  <c r="P55" i="4"/>
  <c r="K66" i="3" l="1"/>
  <c r="L66" i="3"/>
  <c r="M66" i="3" s="1"/>
  <c r="N66" i="3" s="1"/>
  <c r="O66" i="3" s="1"/>
  <c r="P66" i="3" s="1"/>
  <c r="K63" i="3"/>
  <c r="L63" i="3" s="1"/>
  <c r="M63" i="3" s="1"/>
  <c r="N63" i="3" s="1"/>
  <c r="O63" i="3" s="1"/>
  <c r="P63" i="3" s="1"/>
  <c r="J66" i="3"/>
  <c r="J63" i="3"/>
  <c r="J62" i="3"/>
  <c r="K62" i="3" s="1"/>
  <c r="L62" i="3" s="1"/>
  <c r="M62" i="3" s="1"/>
  <c r="N62" i="3" s="1"/>
  <c r="O62" i="3" s="1"/>
  <c r="P62" i="3" s="1"/>
  <c r="J61" i="3"/>
  <c r="K61" i="3" s="1"/>
  <c r="L61" i="3" s="1"/>
  <c r="M61" i="3" s="1"/>
  <c r="N61" i="3" s="1"/>
  <c r="O61" i="3" s="1"/>
  <c r="P61" i="3" s="1"/>
  <c r="K50" i="3"/>
  <c r="L50" i="3" s="1"/>
  <c r="M50" i="3" s="1"/>
  <c r="N50" i="3" s="1"/>
  <c r="O50" i="3" s="1"/>
  <c r="P50" i="3" s="1"/>
  <c r="K51" i="3"/>
  <c r="L51" i="3" s="1"/>
  <c r="M51" i="3" s="1"/>
  <c r="N51" i="3" s="1"/>
  <c r="O51" i="3" s="1"/>
  <c r="P51" i="3" s="1"/>
  <c r="K52" i="3"/>
  <c r="L52" i="3" s="1"/>
  <c r="M52" i="3" s="1"/>
  <c r="N52" i="3" s="1"/>
  <c r="O52" i="3" s="1"/>
  <c r="P52" i="3" s="1"/>
  <c r="K53" i="3"/>
  <c r="L53" i="3" s="1"/>
  <c r="M53" i="3" s="1"/>
  <c r="N53" i="3" s="1"/>
  <c r="O53" i="3" s="1"/>
  <c r="P53" i="3" s="1"/>
  <c r="K43" i="3"/>
  <c r="L43" i="3" s="1"/>
  <c r="M43" i="3" s="1"/>
  <c r="N43" i="3" s="1"/>
  <c r="O43" i="3" s="1"/>
  <c r="P43" i="3" s="1"/>
  <c r="J43" i="3"/>
  <c r="J57" i="4"/>
  <c r="K40" i="3"/>
  <c r="L40" i="3" s="1"/>
  <c r="M40" i="3" s="1"/>
  <c r="N40" i="3" s="1"/>
  <c r="O40" i="3" s="1"/>
  <c r="P40" i="3" s="1"/>
  <c r="K31" i="3"/>
  <c r="L31" i="3" s="1"/>
  <c r="M31" i="3" s="1"/>
  <c r="N31" i="3" s="1"/>
  <c r="O31" i="3" s="1"/>
  <c r="P31" i="3" s="1"/>
  <c r="J32" i="3"/>
  <c r="K32" i="3" s="1"/>
  <c r="L32" i="3" s="1"/>
  <c r="M32" i="3" s="1"/>
  <c r="N32" i="3" s="1"/>
  <c r="O32" i="3" s="1"/>
  <c r="P32" i="3" s="1"/>
  <c r="J31" i="3"/>
  <c r="J30" i="3"/>
  <c r="K30" i="3" s="1"/>
  <c r="L30" i="3" s="1"/>
  <c r="M30" i="3" s="1"/>
  <c r="N30" i="3" s="1"/>
  <c r="O30" i="3" s="1"/>
  <c r="P30" i="3" s="1"/>
  <c r="J26" i="3"/>
  <c r="K26" i="3" s="1"/>
  <c r="L26" i="3" s="1"/>
  <c r="M26" i="3" s="1"/>
  <c r="N26" i="3" s="1"/>
  <c r="O26" i="3" s="1"/>
  <c r="P26" i="3" s="1"/>
  <c r="J20" i="3"/>
  <c r="K20" i="3" s="1"/>
  <c r="L20" i="3" s="1"/>
  <c r="M20" i="3" s="1"/>
  <c r="N20" i="3" s="1"/>
  <c r="O20" i="3" s="1"/>
  <c r="P20" i="3" s="1"/>
  <c r="J19" i="3"/>
  <c r="J17" i="3"/>
  <c r="K17" i="3" s="1"/>
  <c r="L17" i="3" s="1"/>
  <c r="M17" i="3" s="1"/>
  <c r="N17" i="3" s="1"/>
  <c r="O17" i="3" s="1"/>
  <c r="P17" i="3" s="1"/>
  <c r="J18" i="3"/>
  <c r="J16" i="3"/>
  <c r="K16" i="3"/>
  <c r="L16" i="3" s="1"/>
  <c r="M16" i="3" s="1"/>
  <c r="N16" i="3" s="1"/>
  <c r="O16" i="3" s="1"/>
  <c r="P16" i="3" s="1"/>
  <c r="K19" i="3"/>
  <c r="L19" i="3" s="1"/>
  <c r="M19" i="3" s="1"/>
  <c r="N19" i="3" s="1"/>
  <c r="O19" i="3" s="1"/>
  <c r="P19" i="3" s="1"/>
  <c r="K18" i="3"/>
  <c r="L18" i="3" s="1"/>
  <c r="M18" i="3" s="1"/>
  <c r="N18" i="3" s="1"/>
  <c r="O18" i="3" s="1"/>
  <c r="P18" i="3" s="1"/>
  <c r="J15" i="3"/>
  <c r="K15" i="3" s="1"/>
  <c r="L15" i="3" s="1"/>
  <c r="M15" i="3" s="1"/>
  <c r="N15" i="3" s="1"/>
  <c r="O15" i="3" s="1"/>
  <c r="P15" i="3" s="1"/>
  <c r="K13" i="3"/>
  <c r="L13" i="3" s="1"/>
  <c r="M13" i="3" s="1"/>
  <c r="N13" i="3" s="1"/>
  <c r="O13" i="3" s="1"/>
  <c r="P13" i="3" s="1"/>
  <c r="J13" i="3"/>
  <c r="J11" i="3"/>
  <c r="K11" i="3" s="1"/>
  <c r="L11" i="3" s="1"/>
  <c r="M11" i="3" s="1"/>
  <c r="N11" i="3" s="1"/>
  <c r="O11" i="3" s="1"/>
  <c r="P11" i="3" s="1"/>
  <c r="I37" i="10"/>
  <c r="I31" i="1"/>
  <c r="I38" i="10" s="1"/>
  <c r="C22" i="11"/>
  <c r="D12" i="11"/>
  <c r="D36" i="11" s="1"/>
  <c r="E36" i="11"/>
  <c r="F12" i="11"/>
  <c r="F36" i="11" s="1"/>
  <c r="G12" i="11"/>
  <c r="G36" i="11" s="1"/>
  <c r="H12" i="11"/>
  <c r="H36" i="11" s="1"/>
  <c r="I12" i="11"/>
  <c r="I36" i="11" s="1"/>
  <c r="I16" i="11"/>
  <c r="C23" i="12"/>
  <c r="C21" i="12"/>
  <c r="K16" i="12"/>
  <c r="L16" i="12"/>
  <c r="M16" i="12"/>
  <c r="N16" i="12"/>
  <c r="O16" i="12"/>
  <c r="P16" i="12"/>
  <c r="K14" i="12"/>
  <c r="L14" i="12"/>
  <c r="M14" i="12"/>
  <c r="N14" i="12"/>
  <c r="O14" i="12"/>
  <c r="P14" i="12"/>
  <c r="K12" i="12"/>
  <c r="L12" i="12"/>
  <c r="M12" i="12"/>
  <c r="N12" i="12"/>
  <c r="O12" i="12"/>
  <c r="P12" i="12"/>
  <c r="K10" i="12"/>
  <c r="L10" i="12"/>
  <c r="M10" i="12"/>
  <c r="N10" i="12"/>
  <c r="O10" i="12"/>
  <c r="P10" i="12"/>
  <c r="I27" i="11"/>
  <c r="I22" i="11"/>
  <c r="I9" i="11" s="1"/>
  <c r="C31" i="1"/>
  <c r="C38" i="10" s="1"/>
  <c r="D40" i="11"/>
  <c r="E40" i="11"/>
  <c r="F40" i="11"/>
  <c r="G40" i="11"/>
  <c r="H40" i="11"/>
  <c r="I40" i="11"/>
  <c r="D41" i="11"/>
  <c r="E41" i="11"/>
  <c r="F41" i="11"/>
  <c r="G41" i="11"/>
  <c r="H41" i="11"/>
  <c r="I41" i="11"/>
  <c r="D42" i="11"/>
  <c r="E42" i="11"/>
  <c r="F42" i="11"/>
  <c r="G42" i="11"/>
  <c r="H42" i="11"/>
  <c r="I42" i="11"/>
  <c r="D43" i="11"/>
  <c r="E43" i="11"/>
  <c r="F43" i="11"/>
  <c r="G43" i="11"/>
  <c r="H43" i="11"/>
  <c r="I43" i="11"/>
  <c r="C43" i="11"/>
  <c r="C42" i="11"/>
  <c r="C41" i="11"/>
  <c r="C40" i="11"/>
  <c r="J7" i="11" l="1"/>
  <c r="C36" i="11"/>
  <c r="C31" i="11" s="1"/>
  <c r="C9" i="11"/>
  <c r="D22" i="11"/>
  <c r="E22" i="11"/>
  <c r="F22" i="11"/>
  <c r="G22" i="11"/>
  <c r="H22" i="11"/>
  <c r="C27" i="11"/>
  <c r="C10" i="11" s="1"/>
  <c r="D27" i="11"/>
  <c r="E27" i="11"/>
  <c r="F27" i="11"/>
  <c r="G27" i="11"/>
  <c r="H27" i="11"/>
  <c r="I10" i="11"/>
  <c r="D16" i="11"/>
  <c r="D8" i="11" s="1"/>
  <c r="E16" i="11"/>
  <c r="E8" i="11" s="1"/>
  <c r="F16" i="11"/>
  <c r="F8" i="11" s="1"/>
  <c r="G16" i="11"/>
  <c r="G8" i="11" s="1"/>
  <c r="H16" i="11"/>
  <c r="H8" i="11" s="1"/>
  <c r="I8" i="11"/>
  <c r="C8" i="11"/>
  <c r="C45" i="11" l="1"/>
  <c r="C18" i="11"/>
  <c r="H10" i="11"/>
  <c r="F9" i="11"/>
  <c r="E9" i="11"/>
  <c r="F10" i="11"/>
  <c r="D9" i="11"/>
  <c r="E10" i="11"/>
  <c r="G10" i="11"/>
  <c r="G9" i="11"/>
  <c r="D10" i="11"/>
  <c r="H9" i="11"/>
  <c r="C34" i="11"/>
  <c r="C33" i="11"/>
  <c r="C32" i="11"/>
  <c r="F7" i="11"/>
  <c r="F28" i="11" s="1"/>
  <c r="F23" i="12" s="1"/>
  <c r="E45" i="11"/>
  <c r="H7" i="11"/>
  <c r="G45" i="11"/>
  <c r="I45" i="11"/>
  <c r="I7" i="11"/>
  <c r="H45" i="11"/>
  <c r="D7" i="11"/>
  <c r="D23" i="11" s="1"/>
  <c r="G7" i="11"/>
  <c r="F45" i="11"/>
  <c r="E7" i="11"/>
  <c r="D45" i="11"/>
  <c r="H18" i="11" l="1"/>
  <c r="E23" i="11"/>
  <c r="E18" i="11"/>
  <c r="G28" i="11"/>
  <c r="G23" i="12" s="1"/>
  <c r="G18" i="11"/>
  <c r="D18" i="11"/>
  <c r="F23" i="11"/>
  <c r="F18" i="11"/>
  <c r="I18" i="11"/>
  <c r="G23" i="11"/>
  <c r="G21" i="12" s="1"/>
  <c r="D21" i="12"/>
  <c r="E11" i="11"/>
  <c r="I11" i="11"/>
  <c r="I28" i="11"/>
  <c r="I23" i="11"/>
  <c r="H11" i="11"/>
  <c r="H23" i="11"/>
  <c r="E28" i="11"/>
  <c r="G11" i="11"/>
  <c r="F11" i="11"/>
  <c r="D28" i="11"/>
  <c r="H28" i="11"/>
  <c r="H23" i="12" s="1"/>
  <c r="D11" i="11"/>
  <c r="F34" i="11"/>
  <c r="F33" i="11"/>
  <c r="F32" i="11"/>
  <c r="F31" i="11"/>
  <c r="G33" i="11"/>
  <c r="G34" i="11"/>
  <c r="G32" i="11"/>
  <c r="G31" i="11"/>
  <c r="E32" i="11"/>
  <c r="E31" i="11"/>
  <c r="E34" i="11"/>
  <c r="E33" i="11"/>
  <c r="H33" i="11"/>
  <c r="H31" i="11"/>
  <c r="H32" i="11"/>
  <c r="H34" i="11"/>
  <c r="I34" i="11"/>
  <c r="I33" i="11"/>
  <c r="I32" i="11"/>
  <c r="I31" i="11"/>
  <c r="D31" i="11"/>
  <c r="D33" i="11"/>
  <c r="D32" i="11"/>
  <c r="D34" i="11"/>
  <c r="D36" i="10"/>
  <c r="E36" i="10"/>
  <c r="F36" i="10"/>
  <c r="G36" i="10"/>
  <c r="H36" i="10"/>
  <c r="I36" i="10"/>
  <c r="D37" i="10"/>
  <c r="E37" i="10"/>
  <c r="F37" i="10"/>
  <c r="G37" i="10"/>
  <c r="H37" i="10"/>
  <c r="C37" i="10"/>
  <c r="C36" i="10"/>
  <c r="D28" i="10"/>
  <c r="E28" i="10"/>
  <c r="F28" i="10"/>
  <c r="G28" i="10"/>
  <c r="H28" i="10"/>
  <c r="I28" i="10"/>
  <c r="C28" i="10"/>
  <c r="D24" i="10"/>
  <c r="E24" i="10"/>
  <c r="F24" i="10"/>
  <c r="G24" i="10"/>
  <c r="H24" i="10"/>
  <c r="I24" i="10"/>
  <c r="C24" i="10"/>
  <c r="K21" i="10"/>
  <c r="L21" i="10"/>
  <c r="M21" i="10"/>
  <c r="N21" i="10"/>
  <c r="O21" i="10"/>
  <c r="P21" i="10"/>
  <c r="D10" i="10"/>
  <c r="E10" i="10"/>
  <c r="F10" i="10"/>
  <c r="G10" i="10"/>
  <c r="H10" i="10"/>
  <c r="I10" i="10"/>
  <c r="D11" i="10"/>
  <c r="E11" i="10"/>
  <c r="F11" i="10"/>
  <c r="G11" i="10"/>
  <c r="H11" i="10"/>
  <c r="I11" i="10"/>
  <c r="D12" i="10"/>
  <c r="E12" i="10"/>
  <c r="F12" i="10"/>
  <c r="G12" i="10"/>
  <c r="H12" i="10"/>
  <c r="I12" i="10"/>
  <c r="C12" i="10"/>
  <c r="C11" i="10"/>
  <c r="I21" i="12" l="1"/>
  <c r="H21" i="12"/>
  <c r="F21" i="12"/>
  <c r="E21" i="12"/>
  <c r="J23" i="11"/>
  <c r="I23" i="12"/>
  <c r="J28" i="11"/>
  <c r="K28" i="11" s="1"/>
  <c r="J34" i="11"/>
  <c r="J32" i="11"/>
  <c r="J33" i="11"/>
  <c r="K33" i="11" s="1"/>
  <c r="D23" i="12"/>
  <c r="E23" i="12"/>
  <c r="J31" i="11"/>
  <c r="K31" i="11" s="1"/>
  <c r="I7" i="1"/>
  <c r="H16" i="7"/>
  <c r="G7" i="1"/>
  <c r="H7" i="1"/>
  <c r="F7" i="1"/>
  <c r="F37" i="1"/>
  <c r="G37" i="1"/>
  <c r="H37" i="1"/>
  <c r="I37" i="1"/>
  <c r="H13" i="7"/>
  <c r="I13" i="7"/>
  <c r="D12" i="7"/>
  <c r="E12" i="7"/>
  <c r="F12" i="7"/>
  <c r="G12" i="7"/>
  <c r="C12" i="7"/>
  <c r="D11" i="7"/>
  <c r="D13" i="7" s="1"/>
  <c r="E11" i="7"/>
  <c r="F11" i="7"/>
  <c r="G11" i="7"/>
  <c r="C11" i="7"/>
  <c r="G59" i="4"/>
  <c r="F59" i="4"/>
  <c r="F41" i="4"/>
  <c r="F22" i="4"/>
  <c r="F25" i="4" s="1"/>
  <c r="E35" i="4"/>
  <c r="E41" i="4" s="1"/>
  <c r="G22" i="4"/>
  <c r="G25" i="4" s="1"/>
  <c r="H22" i="4"/>
  <c r="H25" i="4" s="1"/>
  <c r="I22" i="4"/>
  <c r="D59" i="4"/>
  <c r="E59" i="4"/>
  <c r="H59" i="4"/>
  <c r="I59" i="4"/>
  <c r="C59" i="4"/>
  <c r="D41" i="4"/>
  <c r="G41" i="4"/>
  <c r="H41" i="4"/>
  <c r="I41" i="4"/>
  <c r="C41" i="4"/>
  <c r="C13" i="7" l="1"/>
  <c r="J62" i="4"/>
  <c r="J7" i="12"/>
  <c r="I7" i="12"/>
  <c r="D17" i="7"/>
  <c r="K32" i="11"/>
  <c r="K34" i="11"/>
  <c r="K23" i="11"/>
  <c r="L28" i="11"/>
  <c r="M28" i="11" s="1"/>
  <c r="J21" i="12"/>
  <c r="J23" i="12"/>
  <c r="I16" i="7"/>
  <c r="I18" i="7" s="1"/>
  <c r="E13" i="7"/>
  <c r="E8" i="7" s="1"/>
  <c r="E7" i="12" s="1"/>
  <c r="D16" i="7"/>
  <c r="D18" i="7" s="1"/>
  <c r="F13" i="7"/>
  <c r="G13" i="7"/>
  <c r="C17" i="7"/>
  <c r="H61" i="4"/>
  <c r="H64" i="4" s="1"/>
  <c r="F61" i="4"/>
  <c r="F64" i="4" s="1"/>
  <c r="G61" i="4"/>
  <c r="G64" i="4" s="1"/>
  <c r="F8" i="7" l="1"/>
  <c r="F7" i="12" s="1"/>
  <c r="K8" i="7"/>
  <c r="J9" i="11"/>
  <c r="J30" i="4"/>
  <c r="E17" i="7"/>
  <c r="D7" i="12"/>
  <c r="K21" i="12"/>
  <c r="L23" i="11"/>
  <c r="N28" i="11"/>
  <c r="O28" i="11" s="1"/>
  <c r="K23" i="12"/>
  <c r="M23" i="12"/>
  <c r="E16" i="7"/>
  <c r="F17" i="7"/>
  <c r="G17" i="7"/>
  <c r="H17" i="7" s="1"/>
  <c r="H7" i="12"/>
  <c r="G8" i="7"/>
  <c r="G7" i="12" s="1"/>
  <c r="C16" i="7"/>
  <c r="F16" i="7"/>
  <c r="G16" i="7"/>
  <c r="F67" i="3"/>
  <c r="E34" i="3"/>
  <c r="F34" i="3"/>
  <c r="I67" i="3"/>
  <c r="H34" i="3"/>
  <c r="G67" i="3"/>
  <c r="H67" i="3"/>
  <c r="G34" i="3"/>
  <c r="E67" i="3"/>
  <c r="D67" i="3"/>
  <c r="C67" i="3"/>
  <c r="H54" i="3"/>
  <c r="I54" i="3"/>
  <c r="D54" i="3"/>
  <c r="E54" i="3"/>
  <c r="F54" i="3"/>
  <c r="G54" i="3"/>
  <c r="C54" i="3"/>
  <c r="D42" i="3"/>
  <c r="D44" i="3" s="1"/>
  <c r="E42" i="3"/>
  <c r="E44" i="3" s="1"/>
  <c r="E69" i="3" s="1"/>
  <c r="F42" i="3"/>
  <c r="F44" i="3" s="1"/>
  <c r="F69" i="3" s="1"/>
  <c r="G42" i="3"/>
  <c r="G44" i="3" s="1"/>
  <c r="G69" i="3" s="1"/>
  <c r="H42" i="3"/>
  <c r="H44" i="3" s="1"/>
  <c r="I42" i="3"/>
  <c r="I44" i="3" s="1"/>
  <c r="C42" i="3"/>
  <c r="C44" i="3" s="1"/>
  <c r="C69" i="3" l="1"/>
  <c r="D69" i="3"/>
  <c r="I69" i="3"/>
  <c r="H69" i="3"/>
  <c r="E18" i="7"/>
  <c r="F18" i="7"/>
  <c r="L8" i="7"/>
  <c r="K7" i="12"/>
  <c r="J16" i="7"/>
  <c r="P28" i="11"/>
  <c r="M23" i="11"/>
  <c r="N23" i="11" s="1"/>
  <c r="N21" i="12" s="1"/>
  <c r="L21" i="12"/>
  <c r="L23" i="12"/>
  <c r="O23" i="12"/>
  <c r="C18" i="7"/>
  <c r="H18" i="7"/>
  <c r="G18" i="7"/>
  <c r="O11" i="7" l="1"/>
  <c r="O12" i="7" s="1"/>
  <c r="M11" i="7"/>
  <c r="M12" i="7" s="1"/>
  <c r="N11" i="7"/>
  <c r="N12" i="7" s="1"/>
  <c r="P11" i="7"/>
  <c r="P12" i="7" s="1"/>
  <c r="K11" i="7"/>
  <c r="K12" i="7" s="1"/>
  <c r="J11" i="7"/>
  <c r="J12" i="7" s="1"/>
  <c r="L11" i="7"/>
  <c r="L12" i="7" s="1"/>
  <c r="J8" i="1"/>
  <c r="M8" i="7"/>
  <c r="L7" i="12"/>
  <c r="M21" i="12"/>
  <c r="O23" i="11"/>
  <c r="N23" i="12"/>
  <c r="P23" i="12"/>
  <c r="J18" i="7"/>
  <c r="K18" i="7"/>
  <c r="L18" i="7"/>
  <c r="D34" i="3"/>
  <c r="C34" i="3"/>
  <c r="D21" i="3"/>
  <c r="D36" i="3" s="1"/>
  <c r="E21" i="3"/>
  <c r="E36" i="3" s="1"/>
  <c r="F21" i="3"/>
  <c r="F36" i="3" s="1"/>
  <c r="G21" i="3"/>
  <c r="G36" i="3" s="1"/>
  <c r="H21" i="3"/>
  <c r="H36" i="3" s="1"/>
  <c r="I21" i="3"/>
  <c r="C21" i="3"/>
  <c r="M8" i="1" l="1"/>
  <c r="C36" i="3"/>
  <c r="N8" i="7"/>
  <c r="M7" i="12"/>
  <c r="M9" i="1"/>
  <c r="M10" i="1" s="1"/>
  <c r="P23" i="11"/>
  <c r="P21" i="12" s="1"/>
  <c r="O21" i="12"/>
  <c r="J9" i="1"/>
  <c r="K8" i="1"/>
  <c r="K9" i="1"/>
  <c r="K10" i="1" s="1"/>
  <c r="M18" i="7"/>
  <c r="C42" i="1"/>
  <c r="C49" i="1"/>
  <c r="C17" i="1"/>
  <c r="C10" i="1"/>
  <c r="L42" i="1"/>
  <c r="M42" i="1"/>
  <c r="N42" i="1"/>
  <c r="O42" i="1"/>
  <c r="P42" i="1"/>
  <c r="L49" i="1"/>
  <c r="M49" i="1"/>
  <c r="N49" i="1"/>
  <c r="O49" i="1"/>
  <c r="P49" i="1"/>
  <c r="D17" i="1"/>
  <c r="J49" i="1"/>
  <c r="K49" i="1"/>
  <c r="E49" i="1"/>
  <c r="F49" i="1"/>
  <c r="G49" i="1"/>
  <c r="H49" i="1"/>
  <c r="D49" i="1"/>
  <c r="C13" i="10" l="1"/>
  <c r="C15" i="19"/>
  <c r="C28" i="19"/>
  <c r="C21" i="16"/>
  <c r="C20" i="16" s="1"/>
  <c r="D13" i="10"/>
  <c r="D15" i="19"/>
  <c r="D17" i="19" s="1"/>
  <c r="M28" i="19"/>
  <c r="M26" i="19" s="1"/>
  <c r="M21" i="16"/>
  <c r="K28" i="19"/>
  <c r="K26" i="19" s="1"/>
  <c r="K21" i="16"/>
  <c r="O8" i="7"/>
  <c r="N7" i="12"/>
  <c r="L8" i="1"/>
  <c r="M7" i="1" s="1"/>
  <c r="M7" i="24" s="1"/>
  <c r="L9" i="1"/>
  <c r="M7" i="10"/>
  <c r="K7" i="1"/>
  <c r="K7" i="24" s="1"/>
  <c r="K7" i="10"/>
  <c r="C12" i="1"/>
  <c r="C7" i="10"/>
  <c r="D22" i="1"/>
  <c r="C22" i="1"/>
  <c r="N18" i="7"/>
  <c r="D42" i="1"/>
  <c r="E42" i="1"/>
  <c r="F42" i="1"/>
  <c r="G42" i="1"/>
  <c r="H42" i="1"/>
  <c r="J42" i="1"/>
  <c r="K42" i="1"/>
  <c r="D37" i="1"/>
  <c r="E37" i="1"/>
  <c r="C37" i="1"/>
  <c r="D31" i="1"/>
  <c r="D38" i="10" s="1"/>
  <c r="E31" i="1"/>
  <c r="E38" i="10" s="1"/>
  <c r="F31" i="1"/>
  <c r="F38" i="10" s="1"/>
  <c r="G31" i="1"/>
  <c r="G38" i="10" s="1"/>
  <c r="H31" i="1"/>
  <c r="H38" i="10" s="1"/>
  <c r="E17" i="1"/>
  <c r="F17" i="1"/>
  <c r="G17" i="1"/>
  <c r="H17" i="1"/>
  <c r="I17" i="1"/>
  <c r="E10" i="1"/>
  <c r="D10" i="1"/>
  <c r="F10" i="1"/>
  <c r="G10" i="1"/>
  <c r="H10" i="1"/>
  <c r="I10" i="1"/>
  <c r="J10" i="1"/>
  <c r="G13" i="10" l="1"/>
  <c r="G15" i="19"/>
  <c r="G17" i="19" s="1"/>
  <c r="M13" i="10"/>
  <c r="H17" i="11"/>
  <c r="H19" i="12" s="1"/>
  <c r="H28" i="19"/>
  <c r="H30" i="19" s="1"/>
  <c r="H32" i="19" s="1"/>
  <c r="H21" i="16"/>
  <c r="H20" i="16" s="1"/>
  <c r="H26" i="12" s="1"/>
  <c r="E13" i="10"/>
  <c r="E15" i="19"/>
  <c r="E17" i="19" s="1"/>
  <c r="D18" i="10"/>
  <c r="D19" i="12"/>
  <c r="D28" i="19"/>
  <c r="D30" i="19" s="1"/>
  <c r="D21" i="16"/>
  <c r="D20" i="16" s="1"/>
  <c r="D26" i="12" s="1"/>
  <c r="E17" i="11"/>
  <c r="E19" i="12" s="1"/>
  <c r="E28" i="19"/>
  <c r="E30" i="19" s="1"/>
  <c r="E21" i="16"/>
  <c r="E20" i="16" s="1"/>
  <c r="E26" i="12" s="1"/>
  <c r="I17" i="11"/>
  <c r="I28" i="19"/>
  <c r="I30" i="19" s="1"/>
  <c r="I32" i="19" s="1"/>
  <c r="I21" i="16"/>
  <c r="I20" i="16" s="1"/>
  <c r="I26" i="12" s="1"/>
  <c r="D19" i="19"/>
  <c r="F17" i="11"/>
  <c r="F19" i="12" s="1"/>
  <c r="F28" i="19"/>
  <c r="F30" i="19" s="1"/>
  <c r="F32" i="19" s="1"/>
  <c r="F21" i="16"/>
  <c r="F20" i="16" s="1"/>
  <c r="F26" i="12" s="1"/>
  <c r="C26" i="12"/>
  <c r="F13" i="10"/>
  <c r="F15" i="19"/>
  <c r="F17" i="19" s="1"/>
  <c r="J17" i="19" s="1"/>
  <c r="G17" i="11"/>
  <c r="G19" i="12" s="1"/>
  <c r="G28" i="19"/>
  <c r="G30" i="19" s="1"/>
  <c r="G32" i="19" s="1"/>
  <c r="G21" i="16"/>
  <c r="G20" i="16" s="1"/>
  <c r="G26" i="12" s="1"/>
  <c r="I13" i="10"/>
  <c r="I15" i="19"/>
  <c r="I17" i="19" s="1"/>
  <c r="H13" i="10"/>
  <c r="H15" i="19"/>
  <c r="H17" i="19" s="1"/>
  <c r="K13" i="10"/>
  <c r="C18" i="10"/>
  <c r="L10" i="1"/>
  <c r="J28" i="19"/>
  <c r="J21" i="16"/>
  <c r="L7" i="10"/>
  <c r="N8" i="1"/>
  <c r="N7" i="1" s="1"/>
  <c r="N7" i="24" s="1"/>
  <c r="N9" i="1"/>
  <c r="O8" i="1"/>
  <c r="L7" i="1"/>
  <c r="L7" i="24" s="1"/>
  <c r="P8" i="7"/>
  <c r="P7" i="12" s="1"/>
  <c r="O7" i="12"/>
  <c r="I19" i="12"/>
  <c r="H22" i="1"/>
  <c r="E32" i="10"/>
  <c r="E22" i="1"/>
  <c r="C10" i="12"/>
  <c r="C20" i="10"/>
  <c r="C19" i="10"/>
  <c r="C29" i="10"/>
  <c r="C16" i="12" s="1"/>
  <c r="C25" i="10"/>
  <c r="C12" i="12" s="1"/>
  <c r="G22" i="1"/>
  <c r="H32" i="10"/>
  <c r="D20" i="10"/>
  <c r="D19" i="10"/>
  <c r="I7" i="10"/>
  <c r="H12" i="1"/>
  <c r="H7" i="10"/>
  <c r="G12" i="1"/>
  <c r="G23" i="1" s="1"/>
  <c r="G25" i="1" s="1"/>
  <c r="G7" i="10"/>
  <c r="I32" i="10"/>
  <c r="F12" i="1"/>
  <c r="F23" i="1" s="1"/>
  <c r="F25" i="1" s="1"/>
  <c r="F7" i="10"/>
  <c r="D7" i="10"/>
  <c r="D15" i="10" s="1"/>
  <c r="G32" i="10"/>
  <c r="C42" i="10"/>
  <c r="C41" i="10"/>
  <c r="J7" i="10"/>
  <c r="D32" i="10"/>
  <c r="F22" i="1"/>
  <c r="E7" i="10"/>
  <c r="I22" i="1"/>
  <c r="F32" i="10"/>
  <c r="P18" i="7"/>
  <c r="O18" i="7"/>
  <c r="C23" i="1"/>
  <c r="E12" i="1"/>
  <c r="D12" i="1"/>
  <c r="D23" i="1" s="1"/>
  <c r="L21" i="16" l="1"/>
  <c r="L28" i="19"/>
  <c r="L26" i="19" s="1"/>
  <c r="J19" i="19"/>
  <c r="K12" i="10"/>
  <c r="K16" i="1" s="1"/>
  <c r="L13" i="10"/>
  <c r="D32" i="19"/>
  <c r="J30" i="19"/>
  <c r="J32" i="19" s="1"/>
  <c r="H19" i="19"/>
  <c r="H15" i="10"/>
  <c r="H10" i="12" s="1"/>
  <c r="H18" i="10"/>
  <c r="F19" i="19"/>
  <c r="I19" i="19"/>
  <c r="J20" i="16"/>
  <c r="J17" i="11"/>
  <c r="J16" i="11" s="1"/>
  <c r="J8" i="11" s="1"/>
  <c r="J27" i="11" s="1"/>
  <c r="J10" i="11" s="1"/>
  <c r="I15" i="10"/>
  <c r="I18" i="10"/>
  <c r="M12" i="10"/>
  <c r="M16" i="1" s="1"/>
  <c r="E15" i="10"/>
  <c r="E10" i="12" s="1"/>
  <c r="E18" i="10"/>
  <c r="F15" i="10"/>
  <c r="F18" i="10"/>
  <c r="G19" i="19"/>
  <c r="L19" i="16"/>
  <c r="L11" i="16" s="1"/>
  <c r="L49" i="4" s="1"/>
  <c r="E19" i="19"/>
  <c r="K17" i="19"/>
  <c r="K19" i="19" s="1"/>
  <c r="G15" i="10"/>
  <c r="G18" i="10"/>
  <c r="O7" i="1"/>
  <c r="O7" i="24" s="1"/>
  <c r="N10" i="1"/>
  <c r="O9" i="1"/>
  <c r="O10" i="1" s="1"/>
  <c r="E23" i="1"/>
  <c r="E25" i="1" s="1"/>
  <c r="E27" i="1" s="1"/>
  <c r="E33" i="10" s="1"/>
  <c r="E14" i="12" s="1"/>
  <c r="F29" i="10"/>
  <c r="F25" i="10"/>
  <c r="E20" i="10"/>
  <c r="E19" i="10"/>
  <c r="J19" i="10" s="1"/>
  <c r="G20" i="10"/>
  <c r="G19" i="10"/>
  <c r="E29" i="10"/>
  <c r="E16" i="12" s="1"/>
  <c r="E25" i="10"/>
  <c r="E12" i="12" s="1"/>
  <c r="H42" i="10"/>
  <c r="H41" i="10"/>
  <c r="I25" i="10"/>
  <c r="I12" i="12" s="1"/>
  <c r="I29" i="10"/>
  <c r="I16" i="12" s="1"/>
  <c r="D21" i="10"/>
  <c r="E42" i="10"/>
  <c r="E41" i="10"/>
  <c r="C43" i="10"/>
  <c r="I10" i="12"/>
  <c r="I19" i="10"/>
  <c r="I20" i="10"/>
  <c r="G41" i="10"/>
  <c r="G42" i="10"/>
  <c r="G43" i="10" s="1"/>
  <c r="G29" i="10"/>
  <c r="G16" i="12" s="1"/>
  <c r="G25" i="10"/>
  <c r="G12" i="12" s="1"/>
  <c r="H20" i="10"/>
  <c r="H19" i="10"/>
  <c r="I41" i="10"/>
  <c r="I42" i="10"/>
  <c r="D29" i="10"/>
  <c r="D16" i="12" s="1"/>
  <c r="D25" i="10"/>
  <c r="D12" i="12" s="1"/>
  <c r="D10" i="12"/>
  <c r="C21" i="10"/>
  <c r="H29" i="10"/>
  <c r="H25" i="10"/>
  <c r="H12" i="12" s="1"/>
  <c r="F41" i="10"/>
  <c r="F42" i="10"/>
  <c r="F10" i="12"/>
  <c r="F20" i="10"/>
  <c r="F19" i="10"/>
  <c r="D41" i="10"/>
  <c r="D42" i="10"/>
  <c r="H23" i="1"/>
  <c r="H25" i="1" s="1"/>
  <c r="H27" i="1" s="1"/>
  <c r="D25" i="1"/>
  <c r="D33" i="10" s="1"/>
  <c r="D14" i="12" s="1"/>
  <c r="G27" i="1"/>
  <c r="G32" i="1" s="1"/>
  <c r="G38" i="1" s="1"/>
  <c r="F27" i="1"/>
  <c r="F32" i="1" s="1"/>
  <c r="F38" i="1" s="1"/>
  <c r="C61" i="4" l="1"/>
  <c r="C64" i="4" s="1"/>
  <c r="C39" i="24"/>
  <c r="K17" i="11"/>
  <c r="K19" i="12" s="1"/>
  <c r="M10" i="10"/>
  <c r="K10" i="10"/>
  <c r="M11" i="10"/>
  <c r="K11" i="10"/>
  <c r="L11" i="10"/>
  <c r="L12" i="10"/>
  <c r="L16" i="1" s="1"/>
  <c r="L10" i="10"/>
  <c r="J26" i="12"/>
  <c r="M19" i="16"/>
  <c r="M11" i="16" s="1"/>
  <c r="M49" i="4" s="1"/>
  <c r="K19" i="16"/>
  <c r="K11" i="16" s="1"/>
  <c r="K49" i="4" s="1"/>
  <c r="J19" i="16"/>
  <c r="J11" i="16" s="1"/>
  <c r="L17" i="11"/>
  <c r="L16" i="11" s="1"/>
  <c r="J19" i="12"/>
  <c r="K16" i="11"/>
  <c r="J25" i="10"/>
  <c r="J28" i="4"/>
  <c r="J26" i="19"/>
  <c r="J24" i="19" s="1"/>
  <c r="L17" i="19"/>
  <c r="O28" i="19"/>
  <c r="O26" i="19" s="1"/>
  <c r="O21" i="16"/>
  <c r="O19" i="16" s="1"/>
  <c r="O11" i="16" s="1"/>
  <c r="O49" i="4" s="1"/>
  <c r="N7" i="10"/>
  <c r="N28" i="19"/>
  <c r="N26" i="19" s="1"/>
  <c r="N21" i="16"/>
  <c r="N19" i="16" s="1"/>
  <c r="N11" i="16" s="1"/>
  <c r="N49" i="4" s="1"/>
  <c r="O7" i="10"/>
  <c r="P8" i="1"/>
  <c r="P7" i="1" s="1"/>
  <c r="P7" i="24" s="1"/>
  <c r="S7" i="24" s="1"/>
  <c r="E43" i="10"/>
  <c r="J29" i="10"/>
  <c r="J16" i="12" s="1"/>
  <c r="E21" i="10"/>
  <c r="F12" i="12"/>
  <c r="F43" i="10"/>
  <c r="F16" i="12"/>
  <c r="G10" i="12"/>
  <c r="H16" i="12"/>
  <c r="H32" i="1"/>
  <c r="H38" i="1" s="1"/>
  <c r="H33" i="10"/>
  <c r="H14" i="12" s="1"/>
  <c r="F21" i="10"/>
  <c r="H43" i="10"/>
  <c r="H21" i="10"/>
  <c r="I21" i="10"/>
  <c r="D43" i="10"/>
  <c r="I43" i="10"/>
  <c r="G33" i="10"/>
  <c r="G14" i="12" s="1"/>
  <c r="G21" i="10"/>
  <c r="F33" i="10"/>
  <c r="E32" i="1"/>
  <c r="E38" i="1" s="1"/>
  <c r="E7" i="4"/>
  <c r="E22" i="4" s="1"/>
  <c r="E25" i="4" s="1"/>
  <c r="E61" i="4" s="1"/>
  <c r="E64" i="4" s="1"/>
  <c r="D32" i="1"/>
  <c r="D38" i="1" s="1"/>
  <c r="D7" i="4"/>
  <c r="D22" i="4" s="1"/>
  <c r="D25" i="4" s="1"/>
  <c r="D61" i="4" s="1"/>
  <c r="D64" i="4" s="1"/>
  <c r="K8" i="11" l="1"/>
  <c r="K28" i="4" s="1"/>
  <c r="K11" i="23"/>
  <c r="L8" i="11"/>
  <c r="L28" i="4" s="1"/>
  <c r="L11" i="23"/>
  <c r="C53" i="24"/>
  <c r="C19" i="24"/>
  <c r="C16" i="24"/>
  <c r="M17" i="11"/>
  <c r="N17" i="11" s="1"/>
  <c r="J10" i="12"/>
  <c r="J13" i="10"/>
  <c r="L19" i="19"/>
  <c r="M17" i="19"/>
  <c r="K24" i="19"/>
  <c r="J27" i="3"/>
  <c r="J19" i="4" s="1"/>
  <c r="L19" i="12"/>
  <c r="N13" i="10"/>
  <c r="N24" i="10"/>
  <c r="N18" i="1" s="1"/>
  <c r="K24" i="10"/>
  <c r="K18" i="1" s="1"/>
  <c r="M24" i="10"/>
  <c r="M18" i="1" s="1"/>
  <c r="J24" i="10"/>
  <c r="J18" i="1" s="1"/>
  <c r="L24" i="10"/>
  <c r="L18" i="1" s="1"/>
  <c r="O24" i="10"/>
  <c r="O18" i="1" s="1"/>
  <c r="O13" i="10"/>
  <c r="P9" i="1"/>
  <c r="P10" i="1" s="1"/>
  <c r="N19" i="12"/>
  <c r="N16" i="11"/>
  <c r="M19" i="12"/>
  <c r="M16" i="11"/>
  <c r="O17" i="11"/>
  <c r="K7" i="11"/>
  <c r="J36" i="11"/>
  <c r="J45" i="11" s="1"/>
  <c r="J40" i="11" s="1"/>
  <c r="L28" i="10"/>
  <c r="L21" i="1" s="1"/>
  <c r="K28" i="10"/>
  <c r="K21" i="1" s="1"/>
  <c r="J28" i="10"/>
  <c r="J21" i="1" s="1"/>
  <c r="M28" i="10"/>
  <c r="M21" i="1" s="1"/>
  <c r="J12" i="12"/>
  <c r="N28" i="10"/>
  <c r="N21" i="1" s="1"/>
  <c r="F14" i="12"/>
  <c r="O28" i="10"/>
  <c r="O21" i="1" s="1"/>
  <c r="J43" i="10"/>
  <c r="J21" i="10"/>
  <c r="L14" i="1"/>
  <c r="M14" i="1"/>
  <c r="K14" i="1"/>
  <c r="C14" i="12"/>
  <c r="M15" i="1"/>
  <c r="M41" i="19" s="1"/>
  <c r="M39" i="19" s="1"/>
  <c r="L15" i="1"/>
  <c r="L41" i="19" s="1"/>
  <c r="L39" i="19" s="1"/>
  <c r="K15" i="1"/>
  <c r="K41" i="19" s="1"/>
  <c r="K39" i="19" s="1"/>
  <c r="M8" i="11" l="1"/>
  <c r="M28" i="4" s="1"/>
  <c r="M11" i="23"/>
  <c r="N8" i="11"/>
  <c r="N28" i="4" s="1"/>
  <c r="N11" i="23"/>
  <c r="C38" i="1"/>
  <c r="C45" i="24"/>
  <c r="O12" i="10"/>
  <c r="O16" i="1" s="1"/>
  <c r="O17" i="1" s="1"/>
  <c r="O11" i="10"/>
  <c r="O15" i="1" s="1"/>
  <c r="O41" i="19" s="1"/>
  <c r="O39" i="19" s="1"/>
  <c r="O10" i="10"/>
  <c r="O14" i="1" s="1"/>
  <c r="N11" i="10"/>
  <c r="N15" i="1" s="1"/>
  <c r="N41" i="19" s="1"/>
  <c r="N39" i="19" s="1"/>
  <c r="N12" i="10"/>
  <c r="N16" i="1" s="1"/>
  <c r="N10" i="10"/>
  <c r="N14" i="1" s="1"/>
  <c r="N17" i="1" s="1"/>
  <c r="M19" i="19"/>
  <c r="K10" i="16"/>
  <c r="J54" i="3"/>
  <c r="J36" i="16"/>
  <c r="J37" i="16" s="1"/>
  <c r="J30" i="16" s="1"/>
  <c r="N17" i="19"/>
  <c r="N19" i="19" s="1"/>
  <c r="J11" i="10"/>
  <c r="J15" i="1" s="1"/>
  <c r="J41" i="19" s="1"/>
  <c r="J39" i="19" s="1"/>
  <c r="J37" i="19" s="1"/>
  <c r="J10" i="10"/>
  <c r="J14" i="1" s="1"/>
  <c r="K27" i="3"/>
  <c r="K19" i="4" s="1"/>
  <c r="L24" i="19"/>
  <c r="P7" i="10"/>
  <c r="P28" i="19"/>
  <c r="P26" i="19" s="1"/>
  <c r="P21" i="16"/>
  <c r="P19" i="16" s="1"/>
  <c r="P11" i="16" s="1"/>
  <c r="P49" i="4" s="1"/>
  <c r="O19" i="12"/>
  <c r="O16" i="11"/>
  <c r="P17" i="11"/>
  <c r="J42" i="11"/>
  <c r="J41" i="11"/>
  <c r="J43" i="11"/>
  <c r="K27" i="11"/>
  <c r="K20" i="1" s="1"/>
  <c r="K22" i="11"/>
  <c r="J12" i="10"/>
  <c r="J16" i="1" s="1"/>
  <c r="K17" i="1"/>
  <c r="M17" i="1"/>
  <c r="L17" i="1"/>
  <c r="J52" i="19" l="1"/>
  <c r="J49" i="19" s="1"/>
  <c r="J58" i="3" s="1"/>
  <c r="J21" i="4"/>
  <c r="J17" i="1"/>
  <c r="O15" i="19"/>
  <c r="O15" i="24"/>
  <c r="L15" i="19"/>
  <c r="L13" i="19" s="1"/>
  <c r="L15" i="24"/>
  <c r="M15" i="19"/>
  <c r="M13" i="19" s="1"/>
  <c r="M15" i="24"/>
  <c r="K15" i="19"/>
  <c r="K13" i="19" s="1"/>
  <c r="K15" i="24"/>
  <c r="N15" i="19"/>
  <c r="N13" i="19" s="1"/>
  <c r="N15" i="24"/>
  <c r="O8" i="11"/>
  <c r="O28" i="4" s="1"/>
  <c r="O11" i="23"/>
  <c r="J19" i="1"/>
  <c r="J16" i="4"/>
  <c r="J22" i="1"/>
  <c r="J50" i="19"/>
  <c r="J59" i="3" s="1"/>
  <c r="K37" i="19"/>
  <c r="K25" i="16"/>
  <c r="K12" i="16" s="1"/>
  <c r="K35" i="16"/>
  <c r="P24" i="10"/>
  <c r="P18" i="1" s="1"/>
  <c r="P13" i="10"/>
  <c r="J48" i="4"/>
  <c r="M24" i="19"/>
  <c r="L27" i="3"/>
  <c r="L19" i="4" s="1"/>
  <c r="O17" i="19"/>
  <c r="J67" i="3"/>
  <c r="P28" i="10"/>
  <c r="P21" i="1" s="1"/>
  <c r="P19" i="12"/>
  <c r="P16" i="11"/>
  <c r="K9" i="11"/>
  <c r="K30" i="4"/>
  <c r="K10" i="11"/>
  <c r="K9" i="4" s="1"/>
  <c r="K13" i="23" s="1"/>
  <c r="J15" i="19" l="1"/>
  <c r="J15" i="24"/>
  <c r="P8" i="11"/>
  <c r="P28" i="4" s="1"/>
  <c r="P11" i="23"/>
  <c r="K52" i="19"/>
  <c r="K21" i="4"/>
  <c r="K54" i="4"/>
  <c r="K15" i="16"/>
  <c r="O19" i="19"/>
  <c r="P17" i="19"/>
  <c r="P19" i="19" s="1"/>
  <c r="M27" i="3"/>
  <c r="M19" i="4" s="1"/>
  <c r="N24" i="19"/>
  <c r="P11" i="10"/>
  <c r="P15" i="1" s="1"/>
  <c r="P41" i="19" s="1"/>
  <c r="P39" i="19" s="1"/>
  <c r="P12" i="10"/>
  <c r="P16" i="1" s="1"/>
  <c r="P10" i="10"/>
  <c r="P14" i="1" s="1"/>
  <c r="L37" i="19"/>
  <c r="L21" i="4" s="1"/>
  <c r="O13" i="19"/>
  <c r="J13" i="19"/>
  <c r="J11" i="19" s="1"/>
  <c r="K12" i="11"/>
  <c r="K18" i="11" s="1"/>
  <c r="K49" i="19" l="1"/>
  <c r="K58" i="3" s="1"/>
  <c r="K50" i="19"/>
  <c r="K59" i="3" s="1"/>
  <c r="J24" i="3"/>
  <c r="K11" i="19"/>
  <c r="L11" i="19" s="1"/>
  <c r="M11" i="19" s="1"/>
  <c r="N11" i="19" s="1"/>
  <c r="O11" i="19" s="1"/>
  <c r="L52" i="19"/>
  <c r="M37" i="19"/>
  <c r="M21" i="4" s="1"/>
  <c r="N27" i="3"/>
  <c r="N19" i="4" s="1"/>
  <c r="O24" i="19"/>
  <c r="K36" i="16"/>
  <c r="K49" i="3"/>
  <c r="K54" i="3" s="1"/>
  <c r="L10" i="16"/>
  <c r="P17" i="1"/>
  <c r="J18" i="4"/>
  <c r="J12" i="23" s="1"/>
  <c r="K36" i="11"/>
  <c r="K45" i="11" s="1"/>
  <c r="L7" i="11"/>
  <c r="P15" i="19" l="1"/>
  <c r="P13" i="19" s="1"/>
  <c r="P15" i="24"/>
  <c r="S15" i="24" s="1"/>
  <c r="K37" i="16"/>
  <c r="K30" i="16" s="1"/>
  <c r="K25" i="23" s="1"/>
  <c r="K28" i="23" s="1"/>
  <c r="K30" i="23"/>
  <c r="K67" i="3"/>
  <c r="K19" i="1"/>
  <c r="K22" i="1" s="1"/>
  <c r="K16" i="4"/>
  <c r="K24" i="3"/>
  <c r="K18" i="4" s="1"/>
  <c r="K12" i="23" s="1"/>
  <c r="P11" i="19"/>
  <c r="L35" i="16"/>
  <c r="L25" i="16"/>
  <c r="L12" i="16" s="1"/>
  <c r="L54" i="4" s="1"/>
  <c r="O27" i="3"/>
  <c r="O19" i="4" s="1"/>
  <c r="P24" i="19"/>
  <c r="N37" i="19"/>
  <c r="N21" i="4" s="1"/>
  <c r="M52" i="19"/>
  <c r="K48" i="4"/>
  <c r="K59" i="4" s="1"/>
  <c r="L50" i="19"/>
  <c r="L59" i="3" s="1"/>
  <c r="L49" i="19"/>
  <c r="L58" i="3" s="1"/>
  <c r="L24" i="3"/>
  <c r="L22" i="11"/>
  <c r="L27" i="11"/>
  <c r="L20" i="1" s="1"/>
  <c r="K40" i="11"/>
  <c r="K8" i="3" s="1"/>
  <c r="K43" i="11"/>
  <c r="K12" i="3" s="1"/>
  <c r="K41" i="11"/>
  <c r="K9" i="3" s="1"/>
  <c r="K42" i="11"/>
  <c r="K10" i="3" s="1"/>
  <c r="L18" i="4" l="1"/>
  <c r="L12" i="23" s="1"/>
  <c r="L15" i="16"/>
  <c r="M50" i="19"/>
  <c r="M59" i="3" s="1"/>
  <c r="M49" i="19"/>
  <c r="M58" i="3" s="1"/>
  <c r="P27" i="3"/>
  <c r="P19" i="4" s="1"/>
  <c r="L67" i="3"/>
  <c r="N52" i="19"/>
  <c r="O37" i="19"/>
  <c r="O21" i="4" s="1"/>
  <c r="M10" i="16"/>
  <c r="L36" i="16"/>
  <c r="L49" i="3"/>
  <c r="L54" i="3" s="1"/>
  <c r="M24" i="3"/>
  <c r="M18" i="4" s="1"/>
  <c r="M12" i="23" s="1"/>
  <c r="K21" i="3"/>
  <c r="L10" i="11"/>
  <c r="L9" i="4" s="1"/>
  <c r="L13" i="23" s="1"/>
  <c r="L9" i="11"/>
  <c r="L30" i="4"/>
  <c r="L37" i="16" l="1"/>
  <c r="L30" i="16" s="1"/>
  <c r="L25" i="23" s="1"/>
  <c r="L28" i="23" s="1"/>
  <c r="L30" i="23"/>
  <c r="L19" i="1"/>
  <c r="L22" i="1" s="1"/>
  <c r="L16" i="4"/>
  <c r="N50" i="19"/>
  <c r="N59" i="3" s="1"/>
  <c r="N49" i="19"/>
  <c r="N58" i="3" s="1"/>
  <c r="L48" i="4"/>
  <c r="L59" i="4" s="1"/>
  <c r="O52" i="19"/>
  <c r="P37" i="19"/>
  <c r="M67" i="3"/>
  <c r="M25" i="16"/>
  <c r="M12" i="16" s="1"/>
  <c r="M35" i="16"/>
  <c r="N24" i="3"/>
  <c r="N18" i="4" s="1"/>
  <c r="N12" i="23" s="1"/>
  <c r="L12" i="11"/>
  <c r="P52" i="19" l="1"/>
  <c r="P50" i="19" s="1"/>
  <c r="P59" i="3" s="1"/>
  <c r="P21" i="4"/>
  <c r="L36" i="11"/>
  <c r="L45" i="11" s="1"/>
  <c r="L42" i="11" s="1"/>
  <c r="L10" i="3" s="1"/>
  <c r="L18" i="11"/>
  <c r="M54" i="4"/>
  <c r="M15" i="16"/>
  <c r="N67" i="3"/>
  <c r="O49" i="19"/>
  <c r="O58" i="3" s="1"/>
  <c r="O50" i="19"/>
  <c r="O59" i="3" s="1"/>
  <c r="M7" i="11"/>
  <c r="P24" i="3"/>
  <c r="O24" i="3"/>
  <c r="O18" i="4" s="1"/>
  <c r="O12" i="23" s="1"/>
  <c r="L41" i="11"/>
  <c r="L9" i="3" s="1"/>
  <c r="L43" i="11"/>
  <c r="L12" i="3" s="1"/>
  <c r="P49" i="19" l="1"/>
  <c r="P58" i="3" s="1"/>
  <c r="L40" i="11"/>
  <c r="L8" i="3" s="1"/>
  <c r="M27" i="11"/>
  <c r="M20" i="1" s="1"/>
  <c r="O67" i="3"/>
  <c r="M49" i="3"/>
  <c r="M54" i="3" s="1"/>
  <c r="M36" i="16"/>
  <c r="N10" i="16"/>
  <c r="P67" i="3"/>
  <c r="P18" i="4"/>
  <c r="P12" i="23" s="1"/>
  <c r="M22" i="11"/>
  <c r="M9" i="11" s="1"/>
  <c r="L21" i="3"/>
  <c r="M10" i="11"/>
  <c r="M9" i="4" s="1"/>
  <c r="M13" i="23" s="1"/>
  <c r="M37" i="16" l="1"/>
  <c r="M30" i="16" s="1"/>
  <c r="M25" i="23" s="1"/>
  <c r="M28" i="23" s="1"/>
  <c r="M30" i="23"/>
  <c r="M19" i="1"/>
  <c r="M16" i="4"/>
  <c r="N35" i="16"/>
  <c r="N25" i="16"/>
  <c r="N12" i="16" s="1"/>
  <c r="N54" i="4" s="1"/>
  <c r="M48" i="4"/>
  <c r="M59" i="4" s="1"/>
  <c r="M22" i="1"/>
  <c r="M30" i="4"/>
  <c r="M12" i="11"/>
  <c r="M18" i="11" s="1"/>
  <c r="N15" i="16" l="1"/>
  <c r="N7" i="11"/>
  <c r="M36" i="11"/>
  <c r="M45" i="11" s="1"/>
  <c r="N49" i="3" l="1"/>
  <c r="N54" i="3" s="1"/>
  <c r="N36" i="16"/>
  <c r="O10" i="16"/>
  <c r="M42" i="11"/>
  <c r="M10" i="3" s="1"/>
  <c r="M43" i="11"/>
  <c r="M12" i="3" s="1"/>
  <c r="M41" i="11"/>
  <c r="M9" i="3" s="1"/>
  <c r="M40" i="11"/>
  <c r="M8" i="3" s="1"/>
  <c r="N22" i="11"/>
  <c r="N27" i="11"/>
  <c r="N20" i="1" s="1"/>
  <c r="N37" i="16" l="1"/>
  <c r="N30" i="16" s="1"/>
  <c r="N25" i="23" s="1"/>
  <c r="N28" i="23" s="1"/>
  <c r="N30" i="23"/>
  <c r="N16" i="4"/>
  <c r="N19" i="1"/>
  <c r="N48" i="4"/>
  <c r="N59" i="4" s="1"/>
  <c r="O35" i="16"/>
  <c r="O25" i="16"/>
  <c r="O12" i="16" s="1"/>
  <c r="O54" i="4" s="1"/>
  <c r="M21" i="3"/>
  <c r="N30" i="4"/>
  <c r="N9" i="11"/>
  <c r="N10" i="11"/>
  <c r="N9" i="4" s="1"/>
  <c r="N13" i="23" s="1"/>
  <c r="N22" i="1"/>
  <c r="O15" i="16" l="1"/>
  <c r="O49" i="3"/>
  <c r="O54" i="3" s="1"/>
  <c r="O36" i="16"/>
  <c r="P10" i="16"/>
  <c r="N12" i="11"/>
  <c r="N18" i="11" s="1"/>
  <c r="O37" i="16" l="1"/>
  <c r="O30" i="16" s="1"/>
  <c r="O25" i="23" s="1"/>
  <c r="O28" i="23" s="1"/>
  <c r="O30" i="23"/>
  <c r="O16" i="4"/>
  <c r="O19" i="1"/>
  <c r="P35" i="16"/>
  <c r="P25" i="16"/>
  <c r="P12" i="16" s="1"/>
  <c r="P54" i="4" s="1"/>
  <c r="P15" i="16"/>
  <c r="O48" i="4"/>
  <c r="O59" i="4" s="1"/>
  <c r="N36" i="11"/>
  <c r="N45" i="11" s="1"/>
  <c r="O7" i="11"/>
  <c r="P49" i="3" l="1"/>
  <c r="P54" i="3" s="1"/>
  <c r="P36" i="16"/>
  <c r="O27" i="11"/>
  <c r="O20" i="1" s="1"/>
  <c r="O22" i="11"/>
  <c r="N40" i="11"/>
  <c r="N8" i="3" s="1"/>
  <c r="N43" i="11"/>
  <c r="N12" i="3" s="1"/>
  <c r="N42" i="11"/>
  <c r="N10" i="3" s="1"/>
  <c r="N41" i="11"/>
  <c r="N9" i="3" s="1"/>
  <c r="P37" i="16" l="1"/>
  <c r="P30" i="16" s="1"/>
  <c r="P25" i="23" s="1"/>
  <c r="P28" i="23" s="1"/>
  <c r="P30" i="23"/>
  <c r="P16" i="4"/>
  <c r="P19" i="1"/>
  <c r="P48" i="4"/>
  <c r="P59" i="4" s="1"/>
  <c r="N21" i="3"/>
  <c r="O9" i="11"/>
  <c r="O30" i="4"/>
  <c r="O10" i="11"/>
  <c r="O9" i="4" s="1"/>
  <c r="O13" i="23" s="1"/>
  <c r="O22" i="1"/>
  <c r="O12" i="11" l="1"/>
  <c r="O18" i="11" s="1"/>
  <c r="O36" i="11" l="1"/>
  <c r="O45" i="11" s="1"/>
  <c r="P7" i="11"/>
  <c r="P22" i="11" l="1"/>
  <c r="P27" i="11"/>
  <c r="P20" i="1" s="1"/>
  <c r="O40" i="11"/>
  <c r="O8" i="3" s="1"/>
  <c r="O42" i="11"/>
  <c r="O10" i="3" s="1"/>
  <c r="O41" i="11"/>
  <c r="O9" i="3" s="1"/>
  <c r="O43" i="11"/>
  <c r="O12" i="3" s="1"/>
  <c r="O21" i="3" l="1"/>
  <c r="P22" i="1"/>
  <c r="P10" i="11"/>
  <c r="P9" i="4" s="1"/>
  <c r="P13" i="23" s="1"/>
  <c r="P9" i="11"/>
  <c r="P30" i="4"/>
  <c r="P12" i="11" l="1"/>
  <c r="P18" i="11" s="1"/>
  <c r="P36" i="11"/>
  <c r="P45" i="11" s="1"/>
  <c r="P43" i="11" l="1"/>
  <c r="P12" i="3" s="1"/>
  <c r="P42" i="11"/>
  <c r="P10" i="3" s="1"/>
  <c r="P40" i="11"/>
  <c r="P8" i="3" s="1"/>
  <c r="P41" i="11"/>
  <c r="P9" i="3" s="1"/>
  <c r="P21" i="3" l="1"/>
  <c r="I13" i="21" l="1"/>
  <c r="I11" i="21" s="1"/>
  <c r="I12" i="1"/>
  <c r="I23" i="1" s="1"/>
  <c r="I25" i="1" s="1"/>
  <c r="I27" i="1" s="1"/>
  <c r="I33" i="10" l="1"/>
  <c r="I8" i="23" s="1"/>
  <c r="I32" i="1"/>
  <c r="I38" i="1" s="1"/>
  <c r="I26" i="23" l="1"/>
  <c r="I28" i="23" s="1"/>
  <c r="I39" i="23" s="1"/>
  <c r="I10" i="23"/>
  <c r="I14" i="23" s="1"/>
  <c r="J8" i="23"/>
  <c r="J26" i="23" s="1"/>
  <c r="J28" i="23" s="1"/>
  <c r="I14" i="12"/>
  <c r="J14" i="12" l="1"/>
  <c r="I34" i="3" l="1"/>
  <c r="I36" i="3" s="1"/>
  <c r="I23" i="21"/>
  <c r="I24" i="21" s="1"/>
  <c r="I17" i="21" s="1"/>
  <c r="J17" i="21" s="1"/>
  <c r="J22" i="21" l="1"/>
  <c r="J28" i="3"/>
  <c r="K28" i="3"/>
  <c r="L28" i="3"/>
  <c r="M28" i="3"/>
  <c r="N28" i="3"/>
  <c r="O28" i="3"/>
  <c r="P28" i="3"/>
  <c r="J34" i="3"/>
  <c r="K34" i="3"/>
  <c r="L34" i="3"/>
  <c r="M34" i="3"/>
  <c r="N34" i="3"/>
  <c r="O34" i="3"/>
  <c r="P34" i="3"/>
  <c r="J36" i="3"/>
  <c r="K36" i="3"/>
  <c r="L36" i="3"/>
  <c r="M36" i="3"/>
  <c r="N36" i="3"/>
  <c r="O36" i="3"/>
  <c r="P36" i="3"/>
  <c r="J41" i="3"/>
  <c r="K41" i="3"/>
  <c r="L41" i="3"/>
  <c r="M41" i="3"/>
  <c r="N41" i="3"/>
  <c r="O41" i="3"/>
  <c r="P41" i="3"/>
  <c r="J42" i="3"/>
  <c r="K42" i="3"/>
  <c r="L42" i="3"/>
  <c r="M42" i="3"/>
  <c r="N42" i="3"/>
  <c r="O42" i="3"/>
  <c r="P42" i="3"/>
  <c r="J44" i="3"/>
  <c r="K44" i="3"/>
  <c r="L44" i="3"/>
  <c r="M44" i="3"/>
  <c r="N44" i="3"/>
  <c r="O44" i="3"/>
  <c r="P44" i="3"/>
  <c r="J69" i="3"/>
  <c r="K69" i="3"/>
  <c r="L69" i="3"/>
  <c r="M69" i="3"/>
  <c r="N69" i="3"/>
  <c r="O69" i="3"/>
  <c r="P69" i="3"/>
  <c r="J71" i="3"/>
  <c r="K71" i="3"/>
  <c r="L71" i="3"/>
  <c r="M71" i="3"/>
  <c r="N71" i="3"/>
  <c r="O71" i="3"/>
  <c r="P71" i="3"/>
  <c r="J7" i="4"/>
  <c r="K7" i="4"/>
  <c r="L7" i="4"/>
  <c r="M7" i="4"/>
  <c r="N7" i="4"/>
  <c r="O7" i="4"/>
  <c r="P7" i="4"/>
  <c r="J22" i="4"/>
  <c r="K22" i="4"/>
  <c r="L22" i="4"/>
  <c r="M22" i="4"/>
  <c r="N22" i="4"/>
  <c r="O22" i="4"/>
  <c r="P22" i="4"/>
  <c r="J23" i="4"/>
  <c r="K23" i="4"/>
  <c r="L23" i="4"/>
  <c r="M23" i="4"/>
  <c r="N23" i="4"/>
  <c r="O23" i="4"/>
  <c r="P23" i="4"/>
  <c r="J25" i="4"/>
  <c r="K25" i="4"/>
  <c r="L25" i="4"/>
  <c r="M25" i="4"/>
  <c r="N25" i="4"/>
  <c r="O25" i="4"/>
  <c r="P25" i="4"/>
  <c r="J40" i="4"/>
  <c r="K40" i="4"/>
  <c r="L40" i="4"/>
  <c r="M40" i="4"/>
  <c r="N40" i="4"/>
  <c r="O40" i="4"/>
  <c r="P40" i="4"/>
  <c r="J41" i="4"/>
  <c r="K41" i="4"/>
  <c r="L41" i="4"/>
  <c r="M41" i="4"/>
  <c r="N41" i="4"/>
  <c r="O41" i="4"/>
  <c r="P41" i="4"/>
  <c r="J61" i="4"/>
  <c r="K61" i="4"/>
  <c r="L61" i="4"/>
  <c r="M61" i="4"/>
  <c r="N61" i="4"/>
  <c r="O61" i="4"/>
  <c r="P61" i="4"/>
  <c r="K62" i="4"/>
  <c r="L62" i="4"/>
  <c r="M62" i="4"/>
  <c r="N62" i="4"/>
  <c r="O62" i="4"/>
  <c r="P62" i="4"/>
  <c r="J64" i="4"/>
  <c r="K64" i="4"/>
  <c r="L64" i="4"/>
  <c r="M64" i="4"/>
  <c r="N64" i="4"/>
  <c r="O64" i="4"/>
  <c r="P64" i="4"/>
  <c r="J32" i="10"/>
  <c r="K32" i="10"/>
  <c r="L32" i="10"/>
  <c r="M32" i="10"/>
  <c r="N32" i="10"/>
  <c r="O32" i="10"/>
  <c r="P32" i="10"/>
  <c r="J36" i="10"/>
  <c r="K36" i="10"/>
  <c r="L36" i="10"/>
  <c r="M36" i="10"/>
  <c r="N36" i="10"/>
  <c r="O36" i="10"/>
  <c r="P36" i="10"/>
  <c r="J37" i="10"/>
  <c r="K37" i="10"/>
  <c r="L37" i="10"/>
  <c r="M37" i="10"/>
  <c r="N37" i="10"/>
  <c r="O37" i="10"/>
  <c r="P37" i="10"/>
  <c r="J38" i="10"/>
  <c r="K38" i="10"/>
  <c r="L38" i="10"/>
  <c r="M38" i="10"/>
  <c r="N38" i="10"/>
  <c r="O38" i="10"/>
  <c r="P38" i="10"/>
  <c r="J7" i="23"/>
  <c r="K7" i="23"/>
  <c r="L7" i="23"/>
  <c r="M7" i="23"/>
  <c r="N7" i="23"/>
  <c r="O7" i="23"/>
  <c r="P7" i="23"/>
  <c r="J10" i="23"/>
  <c r="K10" i="23"/>
  <c r="L10" i="23"/>
  <c r="M10" i="23"/>
  <c r="N10" i="23"/>
  <c r="O10" i="23"/>
  <c r="P10" i="23"/>
  <c r="J14" i="23"/>
  <c r="K14" i="23"/>
  <c r="L14" i="23"/>
  <c r="M14" i="23"/>
  <c r="N14" i="23"/>
  <c r="O14" i="23"/>
  <c r="P14" i="23"/>
  <c r="J18" i="23"/>
  <c r="K18" i="23"/>
  <c r="L18" i="23"/>
  <c r="M18" i="23"/>
  <c r="N18" i="23"/>
  <c r="O18" i="23"/>
  <c r="P18" i="23"/>
  <c r="J19" i="23"/>
  <c r="K19" i="23"/>
  <c r="L19" i="23"/>
  <c r="M19" i="23"/>
  <c r="N19" i="23"/>
  <c r="O19" i="23"/>
  <c r="P19" i="23"/>
  <c r="J22" i="23"/>
  <c r="K22" i="23"/>
  <c r="L22" i="23"/>
  <c r="M22" i="23"/>
  <c r="N22" i="23"/>
  <c r="O22" i="23"/>
  <c r="P22" i="23"/>
  <c r="J31" i="23"/>
  <c r="K31" i="23"/>
  <c r="L31" i="23"/>
  <c r="M31" i="23"/>
  <c r="N31" i="23"/>
  <c r="O31" i="23"/>
  <c r="P31" i="23"/>
  <c r="J33" i="23"/>
  <c r="K33" i="23"/>
  <c r="L33" i="23"/>
  <c r="M33" i="23"/>
  <c r="N33" i="23"/>
  <c r="O33" i="23"/>
  <c r="P33" i="23"/>
  <c r="J35" i="23"/>
  <c r="K35" i="23"/>
  <c r="L35" i="23"/>
  <c r="M35" i="23"/>
  <c r="N35" i="23"/>
  <c r="O35" i="23"/>
  <c r="P35" i="23"/>
  <c r="J36" i="23"/>
  <c r="K36" i="23"/>
  <c r="L36" i="23"/>
  <c r="M36" i="23"/>
  <c r="N36" i="23"/>
  <c r="O36" i="23"/>
  <c r="P36" i="23"/>
  <c r="J37" i="23"/>
  <c r="K37" i="23"/>
  <c r="L37" i="23"/>
  <c r="M37" i="23"/>
  <c r="N37" i="23"/>
  <c r="O37" i="23"/>
  <c r="P37" i="23"/>
  <c r="J39" i="23"/>
  <c r="K39" i="23"/>
  <c r="L39" i="23"/>
  <c r="M39" i="23"/>
  <c r="N39" i="23"/>
  <c r="O39" i="23"/>
  <c r="P39" i="23"/>
  <c r="I41" i="23"/>
  <c r="I43" i="23"/>
  <c r="P46" i="23"/>
  <c r="I49" i="23"/>
  <c r="I51" i="23"/>
  <c r="I55" i="23"/>
  <c r="I58" i="23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23" i="1"/>
  <c r="K23" i="1"/>
  <c r="L23" i="1"/>
  <c r="M23" i="1"/>
  <c r="N23" i="1"/>
  <c r="O23" i="1"/>
  <c r="P23" i="1"/>
  <c r="J25" i="1"/>
  <c r="K25" i="1"/>
  <c r="L25" i="1"/>
  <c r="M25" i="1"/>
  <c r="N25" i="1"/>
  <c r="O25" i="1"/>
  <c r="P25" i="1"/>
  <c r="J27" i="1"/>
  <c r="K27" i="1"/>
  <c r="L27" i="1"/>
  <c r="M27" i="1"/>
  <c r="N27" i="1"/>
  <c r="O27" i="1"/>
  <c r="P27" i="1"/>
  <c r="J29" i="1"/>
  <c r="K29" i="1"/>
  <c r="L29" i="1"/>
  <c r="M29" i="1"/>
  <c r="N29" i="1"/>
  <c r="O29" i="1"/>
  <c r="P29" i="1"/>
  <c r="J30" i="1"/>
  <c r="K30" i="1"/>
  <c r="L30" i="1"/>
  <c r="M30" i="1"/>
  <c r="N30" i="1"/>
  <c r="O30" i="1"/>
  <c r="P30" i="1"/>
  <c r="J31" i="1"/>
  <c r="K31" i="1"/>
  <c r="L31" i="1"/>
  <c r="M31" i="1"/>
  <c r="N31" i="1"/>
  <c r="O31" i="1"/>
  <c r="P31" i="1"/>
  <c r="J32" i="1"/>
  <c r="K32" i="1"/>
  <c r="L32" i="1"/>
  <c r="M32" i="1"/>
  <c r="N32" i="1"/>
  <c r="O32" i="1"/>
  <c r="P32" i="1"/>
  <c r="J38" i="1"/>
  <c r="K38" i="1"/>
  <c r="L38" i="1"/>
  <c r="M38" i="1"/>
  <c r="N38" i="1"/>
  <c r="O38" i="1"/>
  <c r="P38" i="1"/>
  <c r="J10" i="21"/>
  <c r="K10" i="21"/>
  <c r="L10" i="21"/>
  <c r="M10" i="21"/>
  <c r="N10" i="21"/>
  <c r="O10" i="21"/>
  <c r="P10" i="21"/>
  <c r="J13" i="21"/>
  <c r="K13" i="21"/>
  <c r="L13" i="21"/>
  <c r="M13" i="21"/>
  <c r="N13" i="21"/>
  <c r="O13" i="21"/>
  <c r="P13" i="21"/>
  <c r="J16" i="21"/>
  <c r="K16" i="21"/>
  <c r="L16" i="21"/>
  <c r="M16" i="21"/>
  <c r="N16" i="21"/>
  <c r="O16" i="21"/>
  <c r="P16" i="21"/>
  <c r="K22" i="21"/>
  <c r="L22" i="21"/>
  <c r="M22" i="21"/>
  <c r="N22" i="21"/>
  <c r="O22" i="21"/>
  <c r="P22" i="21"/>
  <c r="J23" i="21"/>
  <c r="K23" i="21"/>
  <c r="L23" i="21"/>
  <c r="M23" i="21"/>
  <c r="N23" i="21"/>
  <c r="O23" i="21"/>
  <c r="P23" i="21"/>
  <c r="J24" i="21"/>
  <c r="K24" i="21"/>
  <c r="L24" i="21"/>
  <c r="M24" i="21"/>
  <c r="N24" i="21"/>
  <c r="O24" i="21"/>
  <c r="P24" i="21"/>
  <c r="J11" i="24"/>
  <c r="K11" i="24"/>
  <c r="L11" i="24"/>
  <c r="M11" i="24"/>
  <c r="N11" i="24"/>
  <c r="O11" i="24"/>
  <c r="P11" i="24"/>
  <c r="S11" i="24"/>
  <c r="J16" i="24"/>
  <c r="K16" i="24"/>
  <c r="L16" i="24"/>
  <c r="M16" i="24"/>
  <c r="N16" i="24"/>
  <c r="O16" i="24"/>
  <c r="P16" i="24"/>
  <c r="S16" i="24"/>
  <c r="J17" i="24"/>
  <c r="K17" i="24"/>
  <c r="L17" i="24"/>
  <c r="M17" i="24"/>
  <c r="N17" i="24"/>
  <c r="O17" i="24"/>
  <c r="P17" i="24"/>
  <c r="S17" i="24"/>
  <c r="J18" i="24"/>
  <c r="K18" i="24"/>
  <c r="L18" i="24"/>
  <c r="M18" i="24"/>
  <c r="N18" i="24"/>
  <c r="O18" i="24"/>
  <c r="P18" i="24"/>
  <c r="S18" i="24"/>
  <c r="J19" i="24"/>
  <c r="K19" i="24"/>
  <c r="L19" i="24"/>
  <c r="M19" i="24"/>
  <c r="N19" i="24"/>
  <c r="O19" i="24"/>
  <c r="P19" i="24"/>
  <c r="S19" i="24"/>
  <c r="J22" i="24"/>
  <c r="K22" i="24"/>
  <c r="L22" i="24"/>
  <c r="M22" i="24"/>
  <c r="N22" i="24"/>
  <c r="O22" i="24"/>
  <c r="P22" i="24"/>
  <c r="S22" i="24"/>
  <c r="J23" i="24"/>
  <c r="K23" i="24"/>
  <c r="L23" i="24"/>
  <c r="M23" i="24"/>
  <c r="N23" i="24"/>
  <c r="O23" i="24"/>
  <c r="P23" i="24"/>
  <c r="S23" i="24"/>
  <c r="J29" i="24"/>
  <c r="K29" i="24"/>
  <c r="L29" i="24"/>
  <c r="M29" i="24"/>
  <c r="N29" i="24"/>
  <c r="O29" i="24"/>
  <c r="P29" i="24"/>
  <c r="S29" i="24"/>
  <c r="J39" i="24"/>
  <c r="K39" i="24"/>
  <c r="L39" i="24"/>
  <c r="M39" i="24"/>
  <c r="N39" i="24"/>
  <c r="O39" i="24"/>
  <c r="P39" i="24"/>
  <c r="S39" i="24"/>
  <c r="J40" i="24"/>
  <c r="K40" i="24"/>
  <c r="L40" i="24"/>
  <c r="M40" i="24"/>
  <c r="N40" i="24"/>
  <c r="O40" i="24"/>
  <c r="P40" i="24"/>
  <c r="S40" i="24"/>
  <c r="J41" i="24"/>
  <c r="K41" i="24"/>
  <c r="L41" i="24"/>
  <c r="M41" i="24"/>
  <c r="N41" i="24"/>
  <c r="O41" i="24"/>
  <c r="P41" i="24"/>
  <c r="S41" i="24"/>
  <c r="J44" i="24"/>
  <c r="K44" i="24"/>
  <c r="L44" i="24"/>
  <c r="M44" i="24"/>
  <c r="N44" i="24"/>
  <c r="O44" i="24"/>
  <c r="P44" i="24"/>
  <c r="S44" i="24"/>
  <c r="J45" i="24"/>
  <c r="K45" i="24"/>
  <c r="L45" i="24"/>
  <c r="M45" i="24"/>
  <c r="N45" i="24"/>
  <c r="O45" i="24"/>
  <c r="P45" i="24"/>
  <c r="S45" i="24"/>
  <c r="J46" i="24"/>
  <c r="K46" i="24"/>
  <c r="L46" i="24"/>
  <c r="M46" i="24"/>
  <c r="N46" i="24"/>
  <c r="O46" i="24"/>
  <c r="P46" i="24"/>
  <c r="S46" i="24"/>
  <c r="K47" i="24"/>
  <c r="L47" i="24"/>
  <c r="M47" i="24"/>
  <c r="N47" i="24"/>
  <c r="O47" i="24"/>
  <c r="P47" i="24"/>
  <c r="S47" i="24"/>
  <c r="J50" i="24"/>
  <c r="K50" i="24"/>
  <c r="L50" i="24"/>
  <c r="M50" i="24"/>
  <c r="N50" i="24"/>
  <c r="O50" i="24"/>
  <c r="P50" i="24"/>
  <c r="J51" i="24"/>
  <c r="K51" i="24"/>
  <c r="L51" i="24"/>
  <c r="M51" i="24"/>
  <c r="N51" i="24"/>
  <c r="O51" i="24"/>
  <c r="P51" i="24"/>
  <c r="J52" i="24"/>
  <c r="K52" i="24"/>
  <c r="L52" i="24"/>
  <c r="M52" i="24"/>
  <c r="N52" i="24"/>
  <c r="O52" i="24"/>
  <c r="P52" i="24"/>
  <c r="J53" i="24"/>
  <c r="K53" i="24"/>
  <c r="L53" i="24"/>
  <c r="M53" i="24"/>
  <c r="N53" i="24"/>
  <c r="O53" i="24"/>
  <c r="P53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57" authorId="0" shapeId="0" xr:uid="{0CF0343B-BC82-4CEB-BDDE-55DE5668F2F7}">
      <text>
        <r>
          <rPr>
            <b/>
            <sz val="9"/>
            <color indexed="81"/>
            <rFont val="Tahoma"/>
            <family val="2"/>
          </rPr>
          <t>Shreya</t>
        </r>
        <r>
          <rPr>
            <sz val="9"/>
            <color indexed="81"/>
            <rFont val="Tahoma"/>
            <family val="2"/>
          </rPr>
          <t>:
Britannia is regular in paying dividend hence we have taken average of last 4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7" authorId="0" shapeId="0" xr:uid="{1847AE54-4520-4645-9FBA-9366F51957C4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Growth rate of 10%
 is assumed for revenue</t>
        </r>
      </text>
    </comment>
    <comment ref="J10" authorId="0" shapeId="0" xr:uid="{01C7BEBD-2859-4C80-BFF6-6B5FBCE1BDA2}">
      <text>
        <r>
          <rPr>
            <b/>
            <sz val="9"/>
            <color indexed="81"/>
            <rFont val="Tahoma"/>
            <family val="2"/>
          </rPr>
          <t xml:space="preserve">Shreya : 
</t>
        </r>
        <r>
          <rPr>
            <sz val="9"/>
            <color indexed="81"/>
            <rFont val="Tahoma"/>
            <family val="2"/>
          </rPr>
          <t xml:space="preserve">Average of last 3 years is taken
</t>
        </r>
      </text>
    </comment>
    <comment ref="J12" authorId="0" shapeId="0" xr:uid="{4DE1E492-6E77-40F4-8452-505F45370B2A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past 4 years is take</t>
        </r>
      </text>
    </comment>
    <comment ref="J14" authorId="0" shapeId="0" xr:uid="{F1C04128-7975-4265-9268-127C16BC3093}">
      <text>
        <r>
          <rPr>
            <sz val="9"/>
            <color indexed="81"/>
            <rFont val="Tahoma"/>
            <family val="2"/>
          </rPr>
          <t xml:space="preserve">Shreya:
Average of past 4 years is take
</t>
        </r>
      </text>
    </comment>
    <comment ref="J16" authorId="0" shapeId="0" xr:uid="{0514FD50-A2BC-412B-9037-11560F92B848}">
      <text>
        <r>
          <rPr>
            <sz val="9"/>
            <color indexed="81"/>
            <rFont val="Tahoma"/>
            <family val="2"/>
          </rPr>
          <t xml:space="preserve">Shreya:
Average of past 4 years is take
</t>
        </r>
      </text>
    </comment>
    <comment ref="J19" authorId="0" shapeId="0" xr:uid="{11821B93-7F13-40C3-830B-5901A89551B8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1" authorId="0" shapeId="0" xr:uid="{A5FD11C3-D933-41BE-A556-DD8E47F2CCDA}">
      <text>
        <r>
          <rPr>
            <sz val="9"/>
            <color indexed="81"/>
            <rFont val="Tahoma"/>
            <family val="2"/>
          </rPr>
          <t xml:space="preserve">Shreya:
Average of past 6 years is take
</t>
        </r>
      </text>
    </comment>
    <comment ref="J23" authorId="0" shapeId="0" xr:uid="{CF76ABFF-9573-47F4-921C-CDF5B79E0F6C}">
      <text>
        <r>
          <rPr>
            <sz val="9"/>
            <color indexed="81"/>
            <rFont val="Tahoma"/>
            <family val="2"/>
          </rPr>
          <t xml:space="preserve">Shreya:
Average of past 6 years is take
</t>
        </r>
      </text>
    </comment>
    <comment ref="J26" authorId="0" shapeId="0" xr:uid="{DCD10737-192B-4A9F-B295-74A7D31E0DF4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8" authorId="0" shapeId="0" xr:uid="{75E13860-1397-494D-8994-B7C449C70779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  <comment ref="J30" authorId="0" shapeId="0" xr:uid="{DD4AFDD9-2A39-4778-9067-36306F5B9EB4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7 years is taken
</t>
        </r>
      </text>
    </comment>
    <comment ref="J33" authorId="0" shapeId="0" xr:uid="{81BAB69C-3230-47F3-8109-D94A40DA0A5F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rate of past 6 years is taken </t>
        </r>
      </text>
    </comment>
    <comment ref="J35" authorId="0" shapeId="0" xr:uid="{AF8494EA-8229-4D0E-8DB3-6970790A415A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  <comment ref="J37" authorId="0" shapeId="0" xr:uid="{712F9821-A50D-4418-B703-FC1723F76BB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last 6 years is taken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8" authorId="0" shapeId="0" xr:uid="{BCFF0BCC-E782-44DA-B4CD-29BCEEDF7851}">
      <text>
        <r>
          <rPr>
            <b/>
            <sz val="9"/>
            <color indexed="81"/>
            <rFont val="Tahoma"/>
            <family val="2"/>
          </rPr>
          <t xml:space="preserve">Shreya :
</t>
        </r>
        <r>
          <rPr>
            <sz val="9"/>
            <color indexed="81"/>
            <rFont val="Tahoma"/>
            <family val="2"/>
          </rPr>
          <t xml:space="preserve">Growth rate assumed to be 10%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25" authorId="0" shapeId="0" xr:uid="{40D73EFF-FC59-46CA-9D33-69F2A85207E0}">
      <text>
        <r>
          <rPr>
            <b/>
            <sz val="9"/>
            <color indexed="81"/>
            <rFont val="Tahoma"/>
            <family val="2"/>
          </rPr>
          <t xml:space="preserve">Shreya:
</t>
        </r>
        <r>
          <rPr>
            <sz val="9"/>
            <color indexed="81"/>
            <rFont val="Tahoma"/>
            <family val="2"/>
          </rPr>
          <t xml:space="preserve">Average of past 4 years is taken
</t>
        </r>
      </text>
    </comment>
    <comment ref="J29" authorId="0" shapeId="0" xr:uid="{D78FA2F6-4FA9-4BA4-92D2-35E14310699B}">
      <text>
        <r>
          <rPr>
            <b/>
            <sz val="9"/>
            <color indexed="81"/>
            <rFont val="Tahoma"/>
            <family val="2"/>
          </rPr>
          <t xml:space="preserve">Shreya :
</t>
        </r>
        <r>
          <rPr>
            <sz val="9"/>
            <color indexed="81"/>
            <rFont val="Tahoma"/>
            <family val="2"/>
          </rPr>
          <t xml:space="preserve">Average of last 4
 years is taken 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" authorId="0" shapeId="0" xr:uid="{A34203F0-7DD0-4FD3-9891-5B07AF1C4757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past 4 years is taken
</t>
        </r>
      </text>
    </comment>
    <comment ref="J41" authorId="0" shapeId="0" xr:uid="{1F695F18-1F40-4BC3-B9F5-DDBFF0815E19}">
      <text>
        <r>
          <rPr>
            <b/>
            <sz val="9"/>
            <color indexed="81"/>
            <rFont val="Tahoma"/>
            <family val="2"/>
          </rPr>
          <t xml:space="preserve">Shreya : </t>
        </r>
        <r>
          <rPr>
            <sz val="9"/>
            <color indexed="81"/>
            <rFont val="Tahoma"/>
            <family val="2"/>
          </rPr>
          <t xml:space="preserve">
Average of last 4 years is taken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FEBBD46B-6B91-430F-93BB-6740450A3CC4}">
      <text>
        <r>
          <rPr>
            <b/>
            <sz val="9"/>
            <color indexed="81"/>
            <rFont val="Tahoma"/>
            <family val="2"/>
          </rPr>
          <t xml:space="preserve">Shreya: 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23" authorId="0" shapeId="0" xr:uid="{96369D3D-84A0-44E1-9910-D527EA63E949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K23" authorId="0" shapeId="0" xr:uid="{9FE38046-0683-41EC-A2A7-B827A7E2C416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L23" authorId="0" shapeId="0" xr:uid="{A20A389B-E35D-455A-94FA-4E6D9B849EE1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M23" authorId="0" shapeId="0" xr:uid="{6698B436-6682-4A7E-849C-1B816302F835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N23" authorId="0" shapeId="0" xr:uid="{3AAF8C4A-5572-4765-AA5E-CE5E5B0D8B90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O23" authorId="0" shapeId="0" xr:uid="{3B9B41DD-FE48-4881-9712-E43DBC830B18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P23" authorId="0" shapeId="0" xr:uid="{35CBA044-A391-4052-B659-46FCA2571F23}">
      <text>
        <r>
          <rPr>
            <sz val="9"/>
            <color indexed="81"/>
            <rFont val="Tahoma"/>
            <family val="2"/>
          </rPr>
          <t xml:space="preserve">Shreya:
Average of past 6 years is taken 
</t>
        </r>
      </text>
    </comment>
    <comment ref="J28" authorId="0" shapeId="0" xr:uid="{F18D2173-74FB-482E-AF04-D8C5F254D8E9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K28" authorId="0" shapeId="0" xr:uid="{97F2FE7A-0A9C-41FE-80B3-8B9338840AB3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L28" authorId="0" shapeId="0" xr:uid="{3A71086A-5F0B-43ED-9E86-E898EC3CE2FF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M28" authorId="0" shapeId="0" xr:uid="{2EEA0428-9F00-465C-B827-31C7EAEE76A5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N28" authorId="0" shapeId="0" xr:uid="{08EDA4B5-2E49-45EC-88F6-161F098F3D25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O28" authorId="0" shapeId="0" xr:uid="{76ACCD81-2AE1-42FC-B041-1C8F0E355DC0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  <comment ref="P28" authorId="0" shapeId="0" xr:uid="{AD7C0C66-6ED3-4E00-B11E-09C8B4A02AB8}">
      <text>
        <r>
          <rPr>
            <b/>
            <sz val="9"/>
            <color indexed="81"/>
            <rFont val="Tahoma"/>
            <family val="2"/>
          </rPr>
          <t>Shreya:</t>
        </r>
        <r>
          <rPr>
            <sz val="9"/>
            <color indexed="81"/>
            <rFont val="Tahoma"/>
            <family val="2"/>
          </rPr>
          <t xml:space="preserve">
Average of last 6 years is taken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20" authorId="0" shapeId="0" xr:uid="{373F2125-72BE-4644-A9A5-3C17530526DF}">
      <text>
        <r>
          <rPr>
            <b/>
            <sz val="9"/>
            <color indexed="81"/>
            <rFont val="Tahoma"/>
            <family val="2"/>
          </rPr>
          <t xml:space="preserve">Shreya: </t>
        </r>
        <r>
          <rPr>
            <sz val="9"/>
            <color indexed="81"/>
            <rFont val="Tahoma"/>
            <family val="2"/>
          </rPr>
          <t xml:space="preserve">
Average of past 6 years is taken </t>
        </r>
      </text>
    </comment>
    <comment ref="J47" authorId="0" shapeId="0" xr:uid="{A2A70E34-4830-4704-95B9-C6D4CD68A2A7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Since there are lots of fluations in short term borrowing we have taken an assuption that it will increase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D097F182-DBA8-454D-933C-28F6B10A229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30" authorId="0" shapeId="0" xr:uid="{72CF9972-61EE-4161-9677-F44531448867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  <comment ref="J43" authorId="0" shapeId="0" xr:uid="{B3020129-4B08-4375-9541-C5CD4D460B80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Chunnu Ki Dukaan</author>
  </authors>
  <commentList>
    <comment ref="J17" authorId="0" shapeId="0" xr:uid="{67A3FF8F-97A3-41FE-A9B2-BC057CBE4845}">
      <text>
        <r>
          <rPr>
            <b/>
            <sz val="9"/>
            <color indexed="81"/>
            <rFont val="Tahoma"/>
            <family val="2"/>
          </rPr>
          <t>Shreya :</t>
        </r>
        <r>
          <rPr>
            <sz val="9"/>
            <color indexed="81"/>
            <rFont val="Tahoma"/>
            <family val="2"/>
          </rPr>
          <t xml:space="preserve">
Average of past 6 years is taken</t>
        </r>
      </text>
    </comment>
  </commentList>
</comments>
</file>

<file path=xl/sharedStrings.xml><?xml version="1.0" encoding="utf-8"?>
<sst xmlns="http://schemas.openxmlformats.org/spreadsheetml/2006/main" count="657" uniqueCount="393">
  <si>
    <t>INCOME STATEMENTS</t>
  </si>
  <si>
    <t>Particulars</t>
  </si>
  <si>
    <t>Cost of material consumed</t>
  </si>
  <si>
    <t>Purchase of stock in trade</t>
  </si>
  <si>
    <t>(in INR Crores )</t>
  </si>
  <si>
    <t>Sales of goods / Income from operations</t>
  </si>
  <si>
    <t>Other operating revenues</t>
  </si>
  <si>
    <t>Other income</t>
  </si>
  <si>
    <t>I</t>
  </si>
  <si>
    <t>II</t>
  </si>
  <si>
    <t>Total operating revenue</t>
  </si>
  <si>
    <t>Total income (I+II)</t>
  </si>
  <si>
    <t>III</t>
  </si>
  <si>
    <t>IV</t>
  </si>
  <si>
    <t xml:space="preserve">Changes in inventories of finished goods, work in progress and stock in trade </t>
  </si>
  <si>
    <t xml:space="preserve">Cost of goods sold </t>
  </si>
  <si>
    <t>Finance cost</t>
  </si>
  <si>
    <t>Depreciation and amortisation expense</t>
  </si>
  <si>
    <t>X</t>
  </si>
  <si>
    <t>Other expenses</t>
  </si>
  <si>
    <t>Total expenses</t>
  </si>
  <si>
    <t>V</t>
  </si>
  <si>
    <t>VI</t>
  </si>
  <si>
    <t>Share of profits/(loss) of associates</t>
  </si>
  <si>
    <t>VII</t>
  </si>
  <si>
    <t>VIII</t>
  </si>
  <si>
    <t>Profit before share of profits/(loss) of associates (III-VI)</t>
  </si>
  <si>
    <t xml:space="preserve">Profit before exceptional items and tax </t>
  </si>
  <si>
    <t xml:space="preserve">Exceptional Items </t>
  </si>
  <si>
    <t>IX</t>
  </si>
  <si>
    <t>Profit before tax (VIII-IX)</t>
  </si>
  <si>
    <t>XI</t>
  </si>
  <si>
    <t>Expenses :</t>
  </si>
  <si>
    <t>Revenue from operations:</t>
  </si>
  <si>
    <t>Tax Expense :</t>
  </si>
  <si>
    <t>(i) Current Tax</t>
  </si>
  <si>
    <t>(ii) Deffered Tax</t>
  </si>
  <si>
    <t>Total tax expense</t>
  </si>
  <si>
    <t>XII</t>
  </si>
  <si>
    <t>Profit for the year (X-XI)</t>
  </si>
  <si>
    <t>XIII</t>
  </si>
  <si>
    <t>Other comprehensive income :</t>
  </si>
  <si>
    <t>Remeasurements of the net defined benefit (liability)/asset</t>
  </si>
  <si>
    <t>Income-tax relating to items not to be reclassified subsequently to statement of profit or loss</t>
  </si>
  <si>
    <t>Foreign currency translation reserve</t>
  </si>
  <si>
    <t>Other comprehensive income/(loss),net of tax</t>
  </si>
  <si>
    <t>XIV</t>
  </si>
  <si>
    <t xml:space="preserve"> </t>
  </si>
  <si>
    <t>Total comprehensive income for the year ( XII+XIII)</t>
  </si>
  <si>
    <t>Employee benefits expense</t>
  </si>
  <si>
    <t>Profit attributable to :</t>
  </si>
  <si>
    <t>Owners of the company</t>
  </si>
  <si>
    <t>Non-controlling interests</t>
  </si>
  <si>
    <t xml:space="preserve">Total comprehensive income for the year </t>
  </si>
  <si>
    <t>Basic [in ']</t>
  </si>
  <si>
    <t>Diluted [in ']</t>
  </si>
  <si>
    <t>Earnings per share (face value of ' 1 each)</t>
  </si>
  <si>
    <t>Profit for the year</t>
  </si>
  <si>
    <t>Other comprehensive income attributable to:</t>
  </si>
  <si>
    <t>Total comprensive income attributable to:</t>
  </si>
  <si>
    <t>Britannia Industries Limited</t>
  </si>
  <si>
    <t>BALANCE SHEET</t>
  </si>
  <si>
    <t>ASSETS</t>
  </si>
  <si>
    <t>A</t>
  </si>
  <si>
    <t>Non-current assets</t>
  </si>
  <si>
    <t>(a) Property, plant and equipment</t>
  </si>
  <si>
    <t>(b) Capital work-in-progress</t>
  </si>
  <si>
    <t>(c) Investment property</t>
  </si>
  <si>
    <t>(d) Goodwill</t>
  </si>
  <si>
    <t>(e) Other intangible assets</t>
  </si>
  <si>
    <t>(f) Investment in associates</t>
  </si>
  <si>
    <t>(g) Financial assets</t>
  </si>
  <si>
    <t>(h) Deferred tax assets, (net)</t>
  </si>
  <si>
    <t>(i) Income-tax assets, (net)</t>
  </si>
  <si>
    <t>(j) Other non-current assets</t>
  </si>
  <si>
    <t xml:space="preserve">Total non-current assets </t>
  </si>
  <si>
    <t>Current assets</t>
  </si>
  <si>
    <t>(a) Inventories</t>
  </si>
  <si>
    <t>(b) Financial assets</t>
  </si>
  <si>
    <t>(c) Other current assets</t>
  </si>
  <si>
    <t>Total current assets</t>
  </si>
  <si>
    <t>Total Assets (I)</t>
  </si>
  <si>
    <t>(a) Equity share capital</t>
  </si>
  <si>
    <t xml:space="preserve"> EQUITY AND LIABILITIES</t>
  </si>
  <si>
    <t>Equity Shareholde's fund</t>
  </si>
  <si>
    <t>Total equity</t>
  </si>
  <si>
    <t>(b) Deferred tax liabilities, (net)</t>
  </si>
  <si>
    <t>Total non-current liabilities</t>
  </si>
  <si>
    <t>Total current liabilities</t>
  </si>
  <si>
    <t>Total equity and liabilities</t>
  </si>
  <si>
    <t xml:space="preserve"> Liabilities</t>
  </si>
  <si>
    <t xml:space="preserve"> Non-current liabilities</t>
  </si>
  <si>
    <t>B</t>
  </si>
  <si>
    <t xml:space="preserve"> Current liabilities</t>
  </si>
  <si>
    <t>(d) Long term provisions</t>
  </si>
  <si>
    <t>(a) Trade payables</t>
  </si>
  <si>
    <t>(c) Other long-Term borrowings</t>
  </si>
  <si>
    <t>(c) Other current liabilities</t>
  </si>
  <si>
    <t>(d) Short-term provisions</t>
  </si>
  <si>
    <t>(b) Reserves and Surplus</t>
  </si>
  <si>
    <t>Total share capital</t>
  </si>
  <si>
    <t xml:space="preserve">     (i) Investments</t>
  </si>
  <si>
    <t xml:space="preserve">     (ii) Loans receivable</t>
  </si>
  <si>
    <t xml:space="preserve">     (iii) Other financial assets</t>
  </si>
  <si>
    <t xml:space="preserve">   (i) Investments</t>
  </si>
  <si>
    <t xml:space="preserve">   (ii) Trade receivables</t>
  </si>
  <si>
    <t xml:space="preserve">   (iii) Cash and cash equivalents</t>
  </si>
  <si>
    <t xml:space="preserve">   (iv) Bank balances other than (iii) above</t>
  </si>
  <si>
    <t xml:space="preserve">   (v) Loans receivable</t>
  </si>
  <si>
    <t xml:space="preserve">   (vi) Other financial assets</t>
  </si>
  <si>
    <t xml:space="preserve">   (i) Borrowings</t>
  </si>
  <si>
    <t xml:space="preserve">   (ii) Other financial liabilities</t>
  </si>
  <si>
    <t>(a) Financial Liabilities</t>
  </si>
  <si>
    <t xml:space="preserve">(i) total outstanding dues of micro enterprises and small enterprises </t>
  </si>
  <si>
    <t>(e) other financial liabilities</t>
  </si>
  <si>
    <t>(f) short term borrowings</t>
  </si>
  <si>
    <t>(g) government grants</t>
  </si>
  <si>
    <t>(f)current tax liabilities net</t>
  </si>
  <si>
    <t>(d) Assets held for sale</t>
  </si>
  <si>
    <t xml:space="preserve"> (ii) total outstanding dues of creditors other than micro enterprises an</t>
  </si>
  <si>
    <t>(b) Lease liabilities</t>
  </si>
  <si>
    <t>Actual</t>
  </si>
  <si>
    <t>Forecast</t>
  </si>
  <si>
    <t>Cash flow from operating activities</t>
  </si>
  <si>
    <t>Profit before tax and share of profits / (loss) of associates and after exceptional item</t>
  </si>
  <si>
    <t>Adjustments for</t>
  </si>
  <si>
    <t>Share based payment expense</t>
  </si>
  <si>
    <t>Net gain on financial asset measured at fair value through Statement of Profit and Loss</t>
  </si>
  <si>
    <t>Profit on sale of property, plant and equipment</t>
  </si>
  <si>
    <t>Exceptional items-Gain on sale of investments (including fair valuation gain)</t>
  </si>
  <si>
    <t>Interest income from financial assets carried at amortised cost</t>
  </si>
  <si>
    <t>Bad debts</t>
  </si>
  <si>
    <t>Finance costs</t>
  </si>
  <si>
    <t>Inventories</t>
  </si>
  <si>
    <t>Trade receivables</t>
  </si>
  <si>
    <t>Loans receivable, other financial assets, other bank balances and other assets</t>
  </si>
  <si>
    <t>Accounts payables, other financial liabilities, other liabilities and provisions</t>
  </si>
  <si>
    <t>Cash generated from operating activities</t>
  </si>
  <si>
    <t>Income-tax paid, net of refund</t>
  </si>
  <si>
    <t>Net cash generated from operating activities</t>
  </si>
  <si>
    <t>Cash flow from investing activities</t>
  </si>
  <si>
    <t>Changes in working capital</t>
  </si>
  <si>
    <t>Acquisition of property, plant and equipment and other intangible assets</t>
  </si>
  <si>
    <t>Proceeds from sale of non-current investments</t>
  </si>
  <si>
    <t>Proceeds from sale of property, plant and equipment</t>
  </si>
  <si>
    <t>Purchase of investments, net</t>
  </si>
  <si>
    <t>Sale of current investments, net</t>
  </si>
  <si>
    <t>Investment in joint venture</t>
  </si>
  <si>
    <t>Inter-corporate deposits placed</t>
  </si>
  <si>
    <t>Inter-corporate deposits redeemed</t>
  </si>
  <si>
    <t>Changes in other bank balances</t>
  </si>
  <si>
    <t>Consideration paid under business combination</t>
  </si>
  <si>
    <t>Derecognition of net asset on loss of control [refer note 58(b)]</t>
  </si>
  <si>
    <t>Interest received</t>
  </si>
  <si>
    <t>Net cash used in investing activities</t>
  </si>
  <si>
    <t>Cash flow from financing activities</t>
  </si>
  <si>
    <t>Proceeds from share allotment</t>
  </si>
  <si>
    <t>Interest paid on lease liabilities</t>
  </si>
  <si>
    <t>Interest paid</t>
  </si>
  <si>
    <t>Issue of bonus debentures</t>
  </si>
  <si>
    <t>Proceeds from issue of Commercial paper</t>
  </si>
  <si>
    <t>Repayment of term loans</t>
  </si>
  <si>
    <t>Proceeds from / (Repayment of) borrowings, net*</t>
  </si>
  <si>
    <t>Contribution from non-controlling interest</t>
  </si>
  <si>
    <t>Dividends paid (including dividend distribution tax)</t>
  </si>
  <si>
    <t>Payment of bonus debentures (including dividend distribution tax)</t>
  </si>
  <si>
    <t>Net cash generated from / (used in) financing activities</t>
  </si>
  <si>
    <t xml:space="preserve">Proceeds from sale of equity shares in subsidiary (net of cash and cash equivalent) </t>
  </si>
  <si>
    <t>Principal payment of lease liabilities</t>
  </si>
  <si>
    <t>Net proceeds from other working capital borrowing</t>
  </si>
  <si>
    <t>Net increase (decrease) in cash and cash equivalents</t>
  </si>
  <si>
    <t>Cash and Cash Equivalents at beginning of period</t>
  </si>
  <si>
    <t>Effect of exchange rate change on cash</t>
  </si>
  <si>
    <t>Cash and Cash equivalents at the end of the periods</t>
  </si>
  <si>
    <t>CASH FLOW STATEMENT</t>
  </si>
  <si>
    <t>Proceeds from non current borrowings</t>
  </si>
  <si>
    <t>Proceeds from lease liablilities</t>
  </si>
  <si>
    <t>Repayment of non-current borrowings</t>
  </si>
  <si>
    <t>Revenue % Change :</t>
  </si>
  <si>
    <t xml:space="preserve">   Revenue from sale of products</t>
  </si>
  <si>
    <t xml:space="preserve">   Other operating revenue</t>
  </si>
  <si>
    <t xml:space="preserve">Composition of revenue </t>
  </si>
  <si>
    <t>Total</t>
  </si>
  <si>
    <t>Composition of revenue (%)</t>
  </si>
  <si>
    <t>REVENUE SCHEDULE</t>
  </si>
  <si>
    <t>Reveue from Operations</t>
  </si>
  <si>
    <t>COGS / Adjusted Purchase(s)</t>
  </si>
  <si>
    <t>Cost of materials consumed</t>
  </si>
  <si>
    <t>Purchase of stock-in-trade</t>
  </si>
  <si>
    <t>Changes in inventories of finished good, work-in-progress, and stock-in-trade</t>
  </si>
  <si>
    <t>Total as a % of Revenue from Operations</t>
  </si>
  <si>
    <t>COGS / Adjusted Purchase(s) (in %)</t>
  </si>
  <si>
    <t>COST SCHEDULE</t>
  </si>
  <si>
    <t>Employee Benefits Expense</t>
  </si>
  <si>
    <t>Employee Benefits Expense as a % of Revenue from Operations</t>
  </si>
  <si>
    <t>Other Expenses</t>
  </si>
  <si>
    <t>Other Expenses as a % of Revenue from Operations</t>
  </si>
  <si>
    <t>Tax Expense</t>
  </si>
  <si>
    <t>Effective Tax Rate (Tax Expense/PBT)</t>
  </si>
  <si>
    <t>Composition of Tax Expense</t>
  </si>
  <si>
    <t>Current Tax</t>
  </si>
  <si>
    <t>Deferred Tax</t>
  </si>
  <si>
    <t>Composition of Tax Expense in %</t>
  </si>
  <si>
    <t xml:space="preserve">Opening Balance </t>
  </si>
  <si>
    <t xml:space="preserve">Addition </t>
  </si>
  <si>
    <t>Disposal</t>
  </si>
  <si>
    <t>Depreciation</t>
  </si>
  <si>
    <t>Adjustments</t>
  </si>
  <si>
    <t xml:space="preserve">Closing Balance </t>
  </si>
  <si>
    <t>Addition</t>
  </si>
  <si>
    <t>CAPEX</t>
  </si>
  <si>
    <t>SALE OF ASSETS</t>
  </si>
  <si>
    <t>DEPRECIATION</t>
  </si>
  <si>
    <t>ASSET SCHEDULE</t>
  </si>
  <si>
    <t>Composition of Fixed Assets</t>
  </si>
  <si>
    <t>Property, plant and equipment</t>
  </si>
  <si>
    <t>Capital work-in-progress</t>
  </si>
  <si>
    <t>Investment property</t>
  </si>
  <si>
    <t>Other intangible assets</t>
  </si>
  <si>
    <t xml:space="preserve">Asset turnover ratio </t>
  </si>
  <si>
    <t>ASSUMPTION SHEET</t>
  </si>
  <si>
    <t xml:space="preserve">% change in Revenue </t>
  </si>
  <si>
    <t>COGS</t>
  </si>
  <si>
    <t>Employee Expense</t>
  </si>
  <si>
    <t>Cost Schedule (%)</t>
  </si>
  <si>
    <t>Revenue Schedule(%)</t>
  </si>
  <si>
    <t>Asset Schedule (%)</t>
  </si>
  <si>
    <t xml:space="preserve">Average Assets </t>
  </si>
  <si>
    <t>DEBT SCHEDULE</t>
  </si>
  <si>
    <t xml:space="preserve">Opening balance </t>
  </si>
  <si>
    <t>New borrowings</t>
  </si>
  <si>
    <t>Repayment</t>
  </si>
  <si>
    <t>Closing Balance</t>
  </si>
  <si>
    <t>LONG TERM BORROWINGS :</t>
  </si>
  <si>
    <t>New Borrowings</t>
  </si>
  <si>
    <t xml:space="preserve">New Borrowings </t>
  </si>
  <si>
    <t>Debt Schedule (%)</t>
  </si>
  <si>
    <t>Finance Cost</t>
  </si>
  <si>
    <t>Finance cost as a (%)  of average debt</t>
  </si>
  <si>
    <t>Repayment as a (%) of opening balance</t>
  </si>
  <si>
    <t>Average debt</t>
  </si>
  <si>
    <t>New Borrowing as a ( %) of revenue</t>
  </si>
  <si>
    <t>Revenue from operations</t>
  </si>
  <si>
    <t>Average Balance</t>
  </si>
  <si>
    <t>Short-term Borrowings</t>
  </si>
  <si>
    <t>Opening Balance</t>
  </si>
  <si>
    <t>Repayment/proceeds from current borrowings (net)</t>
  </si>
  <si>
    <t>Repayment/proceeds from current borrowings (net) as a % of opening balance</t>
  </si>
  <si>
    <t xml:space="preserve">Finance cost </t>
  </si>
  <si>
    <t>Invetory Turnover Ratio</t>
  </si>
  <si>
    <t>Holding period</t>
  </si>
  <si>
    <t>INVENTORY</t>
  </si>
  <si>
    <t>TRADE RECEIVABLE</t>
  </si>
  <si>
    <t>Average Inventory</t>
  </si>
  <si>
    <t>Average Trade receivables</t>
  </si>
  <si>
    <t>Sales</t>
  </si>
  <si>
    <t>Receivable Turnover Ratio</t>
  </si>
  <si>
    <t xml:space="preserve">Receivable Collection Period </t>
  </si>
  <si>
    <t>TRADE PAYABLES</t>
  </si>
  <si>
    <t>Average Trade payables</t>
  </si>
  <si>
    <t>Purchases</t>
  </si>
  <si>
    <t>Payable Turnover Ratio</t>
  </si>
  <si>
    <t xml:space="preserve">Payable Payment Period </t>
  </si>
  <si>
    <t>WORKING CAPITAL SCHEDULE</t>
  </si>
  <si>
    <t>Composition of trade payables :</t>
  </si>
  <si>
    <t>TOTAL</t>
  </si>
  <si>
    <t>Composition of trade payables (%) :</t>
  </si>
  <si>
    <t>Working Capital Schedule (%)</t>
  </si>
  <si>
    <t>Inventory Turnover Ratio</t>
  </si>
  <si>
    <t>OTHER SCHEDULE</t>
  </si>
  <si>
    <t xml:space="preserve">Interest income </t>
  </si>
  <si>
    <t xml:space="preserve">Adjustments </t>
  </si>
  <si>
    <t>Total Interest</t>
  </si>
  <si>
    <t>Other Income</t>
  </si>
  <si>
    <t xml:space="preserve">Interest Income </t>
  </si>
  <si>
    <t>Interest income as % of Average Interest Earnings &amp; Cash and Cash Equivalet</t>
  </si>
  <si>
    <t xml:space="preserve">Average Balance </t>
  </si>
  <si>
    <t>EBIT</t>
  </si>
  <si>
    <t>Tax Rate</t>
  </si>
  <si>
    <t>EBIT*(1-tax rate)</t>
  </si>
  <si>
    <t>Less: Capital Expenditure</t>
  </si>
  <si>
    <t>Add:(increase)/decrease in Working Capital</t>
  </si>
  <si>
    <t>Free Cash Flow to Firm</t>
  </si>
  <si>
    <t>Add:Non Cash charges</t>
  </si>
  <si>
    <t>Risk free Rate</t>
  </si>
  <si>
    <t>Expected return from the market</t>
  </si>
  <si>
    <t>Market Premium</t>
  </si>
  <si>
    <t>Beta</t>
  </si>
  <si>
    <t>Cost Of Equity ( CAPM)</t>
  </si>
  <si>
    <t>COST OF EQUITY</t>
  </si>
  <si>
    <t>COST OF DEBT</t>
  </si>
  <si>
    <t>Interest rate on debt</t>
  </si>
  <si>
    <t>Cost of debt</t>
  </si>
  <si>
    <t>Total Debt</t>
  </si>
  <si>
    <t>Total Equity</t>
  </si>
  <si>
    <t>WACC</t>
  </si>
  <si>
    <t>%of Debt</t>
  </si>
  <si>
    <t>%of Equity</t>
  </si>
  <si>
    <t>THEORETICAL WACC</t>
  </si>
  <si>
    <t>NPV of Business</t>
  </si>
  <si>
    <t>Long Term Free Cash Flow Growth Assumptions</t>
  </si>
  <si>
    <t>Terminal Value</t>
  </si>
  <si>
    <t>NPV of Business Terminal Value</t>
  </si>
  <si>
    <t>Enterprise Value</t>
  </si>
  <si>
    <t>Add: Cash and Cash Equivalent &amp; Bank Balance (opening balance)</t>
  </si>
  <si>
    <t>Less: Minority Interest ( Opening Balance)</t>
  </si>
  <si>
    <t xml:space="preserve">Equity Value </t>
  </si>
  <si>
    <t>Number of shares outstanding</t>
  </si>
  <si>
    <t xml:space="preserve">Price per share </t>
  </si>
  <si>
    <t>Less: Debt ( Beginning Balance)</t>
  </si>
  <si>
    <t>MPS as on 28/12/2025</t>
  </si>
  <si>
    <t>GROWTH FACTORS</t>
  </si>
  <si>
    <t>Revenue Growth (%)</t>
  </si>
  <si>
    <t xml:space="preserve"> Gross Profit Growth (%)</t>
  </si>
  <si>
    <t>EBITDA Growth  (%)</t>
  </si>
  <si>
    <t>EBIT Growth  (%)</t>
  </si>
  <si>
    <t xml:space="preserve">Pre-Tax Growth  (%) </t>
  </si>
  <si>
    <t>MARGIN</t>
  </si>
  <si>
    <t>Gross Profit Margin  (%)</t>
  </si>
  <si>
    <t>EBITDA Margin  (%)</t>
  </si>
  <si>
    <t>EBIT Margin  (%)</t>
  </si>
  <si>
    <t>Pre-Tax Margin  (%)</t>
  </si>
  <si>
    <t>Effective Tax Rate  (%)</t>
  </si>
  <si>
    <t>LIQUIDITY RATIOS</t>
  </si>
  <si>
    <t>Current Ratio</t>
  </si>
  <si>
    <t>Quick Ratio</t>
  </si>
  <si>
    <t>TURNOVER RATIO</t>
  </si>
  <si>
    <t>Fixed Asset Turnover Ratio</t>
  </si>
  <si>
    <t>Receivable days</t>
  </si>
  <si>
    <t>Payable Days</t>
  </si>
  <si>
    <t>Inventory Days</t>
  </si>
  <si>
    <t>Cash Conversion Cycle</t>
  </si>
  <si>
    <t>CFO%Sales</t>
  </si>
  <si>
    <t>CFO%Totak Assets</t>
  </si>
  <si>
    <t>CFO%Total Debt</t>
  </si>
  <si>
    <t>Return on Capital employed</t>
  </si>
  <si>
    <t xml:space="preserve">Retained Earnings Percentage </t>
  </si>
  <si>
    <t>Return on Equity</t>
  </si>
  <si>
    <t>Interest Coverage Ratio</t>
  </si>
  <si>
    <t>CAPITAL EMPLOYED</t>
  </si>
  <si>
    <t>AVERAGE CAPITALL EMPLYOED</t>
  </si>
  <si>
    <t>RATIO ANALYSIS</t>
  </si>
  <si>
    <t>TRENDS</t>
  </si>
  <si>
    <t>MEDIAN</t>
  </si>
  <si>
    <t>EBITDA</t>
  </si>
  <si>
    <r>
      <t xml:space="preserve">Company Registered Name : </t>
    </r>
    <r>
      <rPr>
        <b/>
        <sz val="11"/>
        <color rgb="FFC00000"/>
        <rFont val="Calibri"/>
        <family val="2"/>
      </rPr>
      <t>Britannia Industries Limited</t>
    </r>
  </si>
  <si>
    <r>
      <t>Sector:</t>
    </r>
    <r>
      <rPr>
        <b/>
        <sz val="11"/>
        <color rgb="FFC00000"/>
        <rFont val="Calibri"/>
        <family val="2"/>
      </rPr>
      <t xml:space="preserve"> FMCG</t>
    </r>
  </si>
  <si>
    <r>
      <t>TICKER:</t>
    </r>
    <r>
      <rPr>
        <b/>
        <sz val="11"/>
        <color theme="5"/>
        <rFont val="Calibri"/>
        <family val="2"/>
      </rPr>
      <t xml:space="preserve"> </t>
    </r>
    <r>
      <rPr>
        <b/>
        <sz val="11"/>
        <color rgb="FFC00000"/>
        <rFont val="Calibri"/>
        <family val="2"/>
      </rPr>
      <t>BRITANNIA</t>
    </r>
  </si>
  <si>
    <r>
      <t xml:space="preserve">BSE CODE: </t>
    </r>
    <r>
      <rPr>
        <b/>
        <sz val="11"/>
        <color rgb="FFC00000"/>
        <rFont val="Calibri"/>
        <family val="2"/>
      </rPr>
      <t>500825</t>
    </r>
  </si>
  <si>
    <r>
      <t xml:space="preserve">      CMP: </t>
    </r>
    <r>
      <rPr>
        <b/>
        <sz val="11"/>
        <color rgb="FFC00000"/>
        <rFont val="Calibri"/>
        <family val="2"/>
      </rPr>
      <t>6106</t>
    </r>
  </si>
  <si>
    <t xml:space="preserve">Britannia Industries is one of the Indias leading food companies </t>
  </si>
  <si>
    <t xml:space="preserve">with 100 year of legacy and annual revenues in </t>
  </si>
  <si>
    <t>excess of Rs. 16000 Cr. Britannia is among the most trusted food brands,</t>
  </si>
  <si>
    <t>and manufacturers Indias favourite brands like Good Day, Tiger, Nutrichoice</t>
  </si>
  <si>
    <t>,Milk Bikis and Marie Gold and many more . Britannia's product portfolio includes Biscuits , Bread , Cakes , Rusk,</t>
  </si>
  <si>
    <t>and dairy products inlcluding Cheese , Beverages ,Milk and Yogurt.</t>
  </si>
  <si>
    <t>Peer companies</t>
  </si>
  <si>
    <t>Name of Company</t>
  </si>
  <si>
    <t>Country</t>
  </si>
  <si>
    <t>CMP</t>
  </si>
  <si>
    <t>Market Capital</t>
  </si>
  <si>
    <t>Nestle India</t>
  </si>
  <si>
    <t>India</t>
  </si>
  <si>
    <t>Bikaji Foods</t>
  </si>
  <si>
    <t>Zydus Wellness</t>
  </si>
  <si>
    <t>Gopal Snacks</t>
  </si>
  <si>
    <t>Mrs Bectors</t>
  </si>
  <si>
    <t>Profit Growth (%)</t>
  </si>
  <si>
    <t>Shareholding pattern</t>
  </si>
  <si>
    <t xml:space="preserve">Investors </t>
  </si>
  <si>
    <t>Promoters</t>
  </si>
  <si>
    <t>FIIs</t>
  </si>
  <si>
    <t>DIIs</t>
  </si>
  <si>
    <t>Government</t>
  </si>
  <si>
    <t>Public</t>
  </si>
  <si>
    <t>March</t>
  </si>
  <si>
    <t>Septemer</t>
  </si>
  <si>
    <t>December</t>
  </si>
  <si>
    <t xml:space="preserve">      June</t>
  </si>
  <si>
    <t>Shareholders</t>
  </si>
  <si>
    <t xml:space="preserve">                  Major Shareholders</t>
  </si>
  <si>
    <t>Associated Biscuits International Limited</t>
  </si>
  <si>
    <t>J P Morgan Funds</t>
  </si>
  <si>
    <t>Lici New Endowment Plus-Secured Fund</t>
  </si>
  <si>
    <t>Recent Updates</t>
  </si>
  <si>
    <t>Financial Performance: Q3 FY26 net profit rose 17% to ₹680 crore, with revenue increasing 9.5%.</t>
  </si>
  <si>
    <t>Leadership Change: Rakshit Hargave was appointed CEO and MD to drive growth.</t>
  </si>
  <si>
    <t>Strategic Focus: Adopting a "startup mentality" to unlock "resident jewels" (smaller brands) to boost margins.</t>
  </si>
  <si>
    <t>Stock Trend: As of Feb 20, 2026, the stock has experienced a minor, temporary downward trend (down -0.17% to ₹6,098.50) following recent highs.</t>
  </si>
  <si>
    <t>Input Costs: Operating with, softened input costs, boosting margins.</t>
  </si>
  <si>
    <t>Growth Strategy: Focus on urban consumption, which is showing signs of recovery after being dull.</t>
  </si>
  <si>
    <t>Market Position: Remains a top FMCG pick with a market cap of over ₹1,46,000</t>
  </si>
  <si>
    <t>DISCOUNTED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</si>
</sst>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₹&quot;\ * #,##0.00_ ;_ &quot;₹&quot;\ * \-#,##0.00_ ;_ &quot;₹&quot;\ * &quot;-&quot;??_ ;_ @_ "/>
    <numFmt numFmtId="164" formatCode="#,##0.00;[Red]\(#,##0.00\)"/>
    <numFmt numFmtId="165" formatCode="0.00_ ;[Red]\(0.00\)"/>
    <numFmt numFmtId="166" formatCode="#,##0;[Red]\(#,##0\)"/>
    <numFmt numFmtId="167" formatCode="0_ ;[Red]\(0\)"/>
    <numFmt numFmtId="168" formatCode="0.0000_ ;[Red]\(0.0000\)"/>
    <numFmt numFmtId="169" formatCode="0.0%"/>
    <numFmt numFmtId="170" formatCode="0.000_ ;[Red]\(0.000\)"/>
    <numFmt numFmtId="171" formatCode="#,##0.00;#,##0.00"/>
    <numFmt numFmtId="172" formatCode="0.00;[Red]0.00"/>
    <numFmt numFmtId="173" formatCode="0.00_ ;\-0.00"/>
    <numFmt numFmtId="174" formatCode="_ [$₹-4009]\ * #,##0.00_ ;_ [$₹-4009]\ * \-#,##0.00_ ;_ [$₹-4009]\ * &quot;-&quot;??_ ;_ @_ "/>
  </numFmts>
  <fonts count="50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0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4"/>
      <color theme="0"/>
      <name val="Arial Black"/>
      <family val="2"/>
    </font>
    <font>
      <b/>
      <sz val="11"/>
      <color theme="4"/>
      <name val="Calibri"/>
      <family val="2"/>
    </font>
    <font>
      <b/>
      <sz val="11"/>
      <color theme="1" tint="4.9989318521683403E-2"/>
      <name val="Calibri"/>
      <family val="2"/>
    </font>
    <font>
      <b/>
      <sz val="12"/>
      <color rgb="FFFFC000"/>
      <name val="Calibri"/>
      <family val="2"/>
      <scheme val="minor"/>
    </font>
    <font>
      <b/>
      <sz val="12"/>
      <color theme="4"/>
      <name val="Calibri"/>
      <family val="2"/>
    </font>
    <font>
      <b/>
      <sz val="11"/>
      <color theme="5"/>
      <name val="Calibri"/>
      <family val="2"/>
    </font>
    <font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</font>
    <font>
      <b/>
      <sz val="12"/>
      <color theme="1"/>
      <name val="Calibri"/>
      <family val="2"/>
    </font>
    <font>
      <sz val="11"/>
      <color theme="4" tint="-0.249977111117893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2"/>
      <color rgb="FF00B05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theme="4" tint="-0.499984740745262"/>
      <name val="Calibri"/>
      <family val="2"/>
    </font>
    <font>
      <b/>
      <sz val="11"/>
      <color theme="3" tint="-0.499984740745262"/>
      <name val="Calibri"/>
      <family val="2"/>
    </font>
    <font>
      <b/>
      <sz val="11"/>
      <color theme="4" tint="0.39997558519241921"/>
      <name val="Calibri"/>
      <family val="2"/>
    </font>
    <font>
      <b/>
      <sz val="11"/>
      <color rgb="FFC00000"/>
      <name val="Calibri"/>
      <family val="2"/>
    </font>
    <font>
      <sz val="9"/>
      <color rgb="FF606F7B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7" tint="0.59999389629810485"/>
      <name val="Calibri"/>
      <family val="2"/>
    </font>
    <font>
      <b/>
      <sz val="11"/>
      <color theme="7" tint="0.3999755851924192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rgb="FFC00000"/>
      <name val="Calibri"/>
      <family val="2"/>
    </font>
    <font>
      <sz val="12"/>
      <color theme="1"/>
      <name val="Calibri"/>
      <family val="2"/>
    </font>
    <font>
      <b/>
      <sz val="12"/>
      <color rgb="FF663300"/>
      <name val="Calibri"/>
      <family val="2"/>
    </font>
    <font>
      <sz val="11"/>
      <color rgb="FF663300"/>
      <name val="Calibri"/>
      <family val="2"/>
    </font>
    <font>
      <b/>
      <sz val="11"/>
      <color rgb="FF663300"/>
      <name val="Calibri"/>
      <family val="2"/>
    </font>
    <font>
      <b/>
      <sz val="12"/>
      <color theme="4" tint="-0.499984740745262"/>
      <name val="Calibri"/>
      <family val="2"/>
    </font>
    <font>
      <sz val="11"/>
      <color theme="4" tint="-0.49998474074526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/>
      <right/>
      <top/>
      <bottom style="thick">
        <color rgb="FFA85400"/>
      </bottom>
      <diagonal/>
    </border>
  </borders>
  <cellStyleXfs count="4">
    <xf numFmtId="0" fontId="0" fillId="0" borderId="0"/>
    <xf numFmtId="9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4" fontId="18" fillId="0" borderId="0" applyFont="0" applyFill="0" applyBorder="0" applyAlignment="0" applyProtection="0"/>
  </cellStyleXfs>
  <cellXfs count="180">
    <xf numFmtId="0" fontId="0" fillId="0" borderId="0" xfId="0"/>
    <xf numFmtId="1" fontId="7" fillId="4" borderId="0" xfId="0" applyNumberFormat="1" applyFont="1" applyFill="1"/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5" fontId="7" fillId="4" borderId="0" xfId="0" applyNumberFormat="1" applyFont="1" applyFill="1"/>
    <xf numFmtId="165" fontId="15" fillId="4" borderId="0" xfId="0" applyNumberFormat="1" applyFont="1" applyFill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5" fontId="1" fillId="0" borderId="2" xfId="0" applyNumberFormat="1" applyFont="1" applyBorder="1"/>
    <xf numFmtId="165" fontId="1" fillId="8" borderId="0" xfId="0" applyNumberFormat="1" applyFont="1" applyFill="1"/>
    <xf numFmtId="165" fontId="1" fillId="8" borderId="2" xfId="0" applyNumberFormat="1" applyFont="1" applyFill="1" applyBorder="1"/>
    <xf numFmtId="165" fontId="13" fillId="0" borderId="0" xfId="0" applyNumberFormat="1" applyFont="1"/>
    <xf numFmtId="165" fontId="1" fillId="2" borderId="0" xfId="0" applyNumberFormat="1" applyFont="1" applyFill="1"/>
    <xf numFmtId="165" fontId="1" fillId="7" borderId="0" xfId="0" applyNumberFormat="1" applyFont="1" applyFill="1"/>
    <xf numFmtId="165" fontId="1" fillId="7" borderId="4" xfId="0" applyNumberFormat="1" applyFont="1" applyFill="1" applyBorder="1"/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right"/>
    </xf>
    <xf numFmtId="164" fontId="7" fillId="4" borderId="0" xfId="0" applyNumberFormat="1" applyFont="1" applyFill="1"/>
    <xf numFmtId="164" fontId="15" fillId="4" borderId="0" xfId="0" applyNumberFormat="1" applyFont="1" applyFill="1" applyAlignment="1">
      <alignment horizontal="right"/>
    </xf>
    <xf numFmtId="164" fontId="14" fillId="0" borderId="0" xfId="0" applyNumberFormat="1" applyFont="1"/>
    <xf numFmtId="164" fontId="1" fillId="0" borderId="0" xfId="0" applyNumberFormat="1" applyFont="1"/>
    <xf numFmtId="164" fontId="1" fillId="0" borderId="2" xfId="0" applyNumberFormat="1" applyFont="1" applyBorder="1"/>
    <xf numFmtId="164" fontId="0" fillId="0" borderId="0" xfId="0" applyNumberFormat="1" applyAlignment="1">
      <alignment wrapText="1"/>
    </xf>
    <xf numFmtId="164" fontId="4" fillId="0" borderId="0" xfId="0" applyNumberFormat="1" applyFont="1"/>
    <xf numFmtId="164" fontId="3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164" fontId="8" fillId="0" borderId="2" xfId="0" applyNumberFormat="1" applyFont="1" applyBorder="1"/>
    <xf numFmtId="164" fontId="7" fillId="5" borderId="0" xfId="0" applyNumberFormat="1" applyFont="1" applyFill="1"/>
    <xf numFmtId="164" fontId="9" fillId="0" borderId="0" xfId="0" applyNumberFormat="1" applyFont="1" applyAlignment="1">
      <alignment wrapText="1"/>
    </xf>
    <xf numFmtId="164" fontId="8" fillId="6" borderId="0" xfId="0" applyNumberFormat="1" applyFont="1" applyFill="1"/>
    <xf numFmtId="164" fontId="8" fillId="7" borderId="0" xfId="0" applyNumberFormat="1" applyFont="1" applyFill="1"/>
    <xf numFmtId="164" fontId="8" fillId="0" borderId="1" xfId="0" applyNumberFormat="1" applyFont="1" applyBorder="1"/>
    <xf numFmtId="164" fontId="8" fillId="0" borderId="3" xfId="0" applyNumberFormat="1" applyFont="1" applyBorder="1"/>
    <xf numFmtId="164" fontId="10" fillId="0" borderId="0" xfId="0" applyNumberFormat="1" applyFont="1"/>
    <xf numFmtId="164" fontId="11" fillId="0" borderId="0" xfId="0" applyNumberFormat="1" applyFont="1"/>
    <xf numFmtId="164" fontId="5" fillId="0" borderId="0" xfId="0" applyNumberFormat="1" applyFont="1"/>
    <xf numFmtId="167" fontId="7" fillId="4" borderId="0" xfId="0" applyNumberFormat="1" applyFont="1" applyFill="1"/>
    <xf numFmtId="164" fontId="3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9" fillId="0" borderId="0" xfId="0" applyNumberFormat="1" applyFont="1"/>
    <xf numFmtId="165" fontId="0" fillId="0" borderId="0" xfId="0" applyNumberFormat="1" applyAlignment="1">
      <alignment horizontal="left" vertical="top"/>
    </xf>
    <xf numFmtId="165" fontId="1" fillId="0" borderId="0" xfId="0" applyNumberFormat="1" applyFont="1" applyAlignment="1">
      <alignment horizontal="left"/>
    </xf>
    <xf numFmtId="165" fontId="7" fillId="4" borderId="2" xfId="0" applyNumberFormat="1" applyFont="1" applyFill="1" applyBorder="1"/>
    <xf numFmtId="9" fontId="0" fillId="0" borderId="0" xfId="1" applyFont="1"/>
    <xf numFmtId="9" fontId="9" fillId="0" borderId="0" xfId="1" applyFont="1"/>
    <xf numFmtId="9" fontId="4" fillId="0" borderId="0" xfId="1" applyFont="1"/>
    <xf numFmtId="168" fontId="0" fillId="0" borderId="0" xfId="0" applyNumberFormat="1"/>
    <xf numFmtId="9" fontId="1" fillId="0" borderId="2" xfId="1" applyFont="1" applyBorder="1"/>
    <xf numFmtId="165" fontId="0" fillId="0" borderId="0" xfId="0" applyNumberFormat="1" applyAlignment="1">
      <alignment wrapText="1"/>
    </xf>
    <xf numFmtId="165" fontId="20" fillId="5" borderId="0" xfId="0" applyNumberFormat="1" applyFont="1" applyFill="1"/>
    <xf numFmtId="9" fontId="1" fillId="0" borderId="0" xfId="1" applyFont="1"/>
    <xf numFmtId="9" fontId="18" fillId="0" borderId="0" xfId="1" applyFont="1"/>
    <xf numFmtId="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9" fontId="0" fillId="0" borderId="2" xfId="1" applyFont="1" applyBorder="1"/>
    <xf numFmtId="9" fontId="0" fillId="0" borderId="0" xfId="1" applyFont="1" applyProtection="1"/>
    <xf numFmtId="165" fontId="1" fillId="9" borderId="0" xfId="0" applyNumberFormat="1" applyFont="1" applyFill="1"/>
    <xf numFmtId="0" fontId="1" fillId="9" borderId="0" xfId="0" applyFont="1" applyFill="1"/>
    <xf numFmtId="2" fontId="9" fillId="0" borderId="0" xfId="0" applyNumberFormat="1" applyFont="1" applyAlignment="1">
      <alignment horizontal="right"/>
    </xf>
    <xf numFmtId="165" fontId="23" fillId="0" borderId="0" xfId="2" applyNumberFormat="1"/>
    <xf numFmtId="0" fontId="24" fillId="9" borderId="0" xfId="0" applyFont="1" applyFill="1" applyAlignment="1">
      <alignment horizontal="left"/>
    </xf>
    <xf numFmtId="165" fontId="16" fillId="10" borderId="0" xfId="0" applyNumberFormat="1" applyFont="1" applyFill="1"/>
    <xf numFmtId="10" fontId="0" fillId="0" borderId="0" xfId="1" applyNumberFormat="1" applyFont="1"/>
    <xf numFmtId="170" fontId="0" fillId="0" borderId="0" xfId="0" applyNumberFormat="1"/>
    <xf numFmtId="2" fontId="0" fillId="0" borderId="0" xfId="0" applyNumberFormat="1"/>
    <xf numFmtId="10" fontId="0" fillId="11" borderId="7" xfId="0" applyNumberFormat="1" applyFill="1" applyBorder="1"/>
    <xf numFmtId="9" fontId="0" fillId="11" borderId="7" xfId="0" applyNumberFormat="1" applyFill="1" applyBorder="1"/>
    <xf numFmtId="2" fontId="0" fillId="11" borderId="7" xfId="0" applyNumberFormat="1" applyFill="1" applyBorder="1"/>
    <xf numFmtId="0" fontId="1" fillId="0" borderId="2" xfId="0" applyFont="1" applyBorder="1"/>
    <xf numFmtId="2" fontId="1" fillId="0" borderId="0" xfId="0" applyNumberFormat="1" applyFont="1"/>
    <xf numFmtId="10" fontId="1" fillId="11" borderId="8" xfId="1" applyNumberFormat="1" applyFont="1" applyFill="1" applyBorder="1"/>
    <xf numFmtId="9" fontId="1" fillId="0" borderId="0" xfId="1" applyFont="1" applyBorder="1"/>
    <xf numFmtId="164" fontId="25" fillId="0" borderId="0" xfId="0" applyNumberFormat="1" applyFont="1"/>
    <xf numFmtId="164" fontId="1" fillId="9" borderId="0" xfId="0" applyNumberFormat="1" applyFont="1" applyFill="1"/>
    <xf numFmtId="164" fontId="1" fillId="9" borderId="2" xfId="0" applyNumberFormat="1" applyFont="1" applyFill="1" applyBorder="1"/>
    <xf numFmtId="164" fontId="1" fillId="7" borderId="0" xfId="0" applyNumberFormat="1" applyFont="1" applyFill="1"/>
    <xf numFmtId="164" fontId="1" fillId="7" borderId="4" xfId="0" applyNumberFormat="1" applyFont="1" applyFill="1" applyBorder="1"/>
    <xf numFmtId="164" fontId="13" fillId="12" borderId="0" xfId="0" applyNumberFormat="1" applyFont="1" applyFill="1"/>
    <xf numFmtId="164" fontId="26" fillId="0" borderId="0" xfId="0" applyNumberFormat="1" applyFont="1"/>
    <xf numFmtId="164" fontId="27" fillId="0" borderId="0" xfId="0" applyNumberFormat="1" applyFont="1"/>
    <xf numFmtId="164" fontId="28" fillId="0" borderId="0" xfId="0" applyNumberFormat="1" applyFont="1"/>
    <xf numFmtId="171" fontId="28" fillId="0" borderId="0" xfId="0" applyNumberFormat="1" applyFont="1"/>
    <xf numFmtId="165" fontId="27" fillId="0" borderId="0" xfId="0" applyNumberFormat="1" applyFont="1"/>
    <xf numFmtId="169" fontId="1" fillId="0" borderId="0" xfId="0" applyNumberFormat="1" applyFont="1"/>
    <xf numFmtId="9" fontId="1" fillId="0" borderId="0" xfId="0" applyNumberFormat="1" applyFont="1"/>
    <xf numFmtId="10" fontId="1" fillId="0" borderId="0" xfId="1" applyNumberFormat="1" applyFont="1"/>
    <xf numFmtId="10" fontId="14" fillId="11" borderId="7" xfId="0" applyNumberFormat="1" applyFont="1" applyFill="1" applyBorder="1"/>
    <xf numFmtId="0" fontId="14" fillId="0" borderId="0" xfId="0" applyFont="1"/>
    <xf numFmtId="9" fontId="14" fillId="11" borderId="7" xfId="0" applyNumberFormat="1" applyFont="1" applyFill="1" applyBorder="1"/>
    <xf numFmtId="2" fontId="14" fillId="11" borderId="7" xfId="0" applyNumberFormat="1" applyFont="1" applyFill="1" applyBorder="1"/>
    <xf numFmtId="0" fontId="14" fillId="9" borderId="0" xfId="0" applyFont="1" applyFill="1"/>
    <xf numFmtId="0" fontId="1" fillId="0" borderId="0" xfId="0" applyFont="1" applyAlignment="1">
      <alignment horizontal="left" vertical="top"/>
    </xf>
    <xf numFmtId="0" fontId="0" fillId="9" borderId="0" xfId="0" applyFill="1"/>
    <xf numFmtId="9" fontId="1" fillId="11" borderId="8" xfId="1" applyFont="1" applyFill="1" applyBorder="1"/>
    <xf numFmtId="2" fontId="1" fillId="0" borderId="2" xfId="0" applyNumberFormat="1" applyFont="1" applyBorder="1"/>
    <xf numFmtId="0" fontId="19" fillId="0" borderId="0" xfId="0" applyFont="1" applyAlignment="1">
      <alignment horizontal="left"/>
    </xf>
    <xf numFmtId="165" fontId="0" fillId="9" borderId="0" xfId="0" applyNumberFormat="1" applyFill="1"/>
    <xf numFmtId="165" fontId="1" fillId="0" borderId="0" xfId="0" applyNumberFormat="1" applyFont="1" applyAlignment="1">
      <alignment horizontal="left" indent="1"/>
    </xf>
    <xf numFmtId="9" fontId="0" fillId="11" borderId="7" xfId="1" applyFont="1" applyFill="1" applyBorder="1"/>
    <xf numFmtId="165" fontId="19" fillId="0" borderId="0" xfId="0" applyNumberFormat="1" applyFont="1" applyAlignment="1">
      <alignment horizontal="left" indent="1"/>
    </xf>
    <xf numFmtId="165" fontId="1" fillId="0" borderId="0" xfId="0" applyNumberFormat="1" applyFont="1" applyAlignment="1">
      <alignment horizontal="left" indent="13"/>
    </xf>
    <xf numFmtId="0" fontId="19" fillId="0" borderId="0" xfId="0" applyFont="1"/>
    <xf numFmtId="172" fontId="0" fillId="0" borderId="0" xfId="0" applyNumberFormat="1"/>
    <xf numFmtId="164" fontId="29" fillId="0" borderId="0" xfId="0" applyNumberFormat="1" applyFont="1"/>
    <xf numFmtId="165" fontId="1" fillId="11" borderId="8" xfId="0" applyNumberFormat="1" applyFont="1" applyFill="1" applyBorder="1"/>
    <xf numFmtId="165" fontId="1" fillId="0" borderId="9" xfId="0" applyNumberFormat="1" applyFont="1" applyBorder="1"/>
    <xf numFmtId="9" fontId="0" fillId="0" borderId="9" xfId="1" applyFont="1" applyBorder="1"/>
    <xf numFmtId="165" fontId="1" fillId="0" borderId="0" xfId="0" applyNumberFormat="1" applyFont="1" applyAlignment="1">
      <alignment wrapText="1"/>
    </xf>
    <xf numFmtId="9" fontId="0" fillId="11" borderId="8" xfId="1" applyFont="1" applyFill="1" applyBorder="1"/>
    <xf numFmtId="9" fontId="0" fillId="11" borderId="8" xfId="0" applyNumberFormat="1" applyFill="1" applyBorder="1"/>
    <xf numFmtId="2" fontId="27" fillId="0" borderId="0" xfId="0" applyNumberFormat="1" applyFont="1"/>
    <xf numFmtId="171" fontId="0" fillId="0" borderId="0" xfId="0" applyNumberFormat="1"/>
    <xf numFmtId="2" fontId="1" fillId="9" borderId="2" xfId="0" applyNumberFormat="1" applyFont="1" applyFill="1" applyBorder="1"/>
    <xf numFmtId="2" fontId="0" fillId="0" borderId="0" xfId="1" applyNumberFormat="1" applyFont="1"/>
    <xf numFmtId="0" fontId="31" fillId="13" borderId="0" xfId="0" applyFont="1" applyFill="1"/>
    <xf numFmtId="9" fontId="1" fillId="9" borderId="0" xfId="1" applyFont="1" applyFill="1"/>
    <xf numFmtId="165" fontId="31" fillId="13" borderId="0" xfId="0" applyNumberFormat="1" applyFont="1" applyFill="1"/>
    <xf numFmtId="0" fontId="1" fillId="14" borderId="8" xfId="0" applyFont="1" applyFill="1" applyBorder="1"/>
    <xf numFmtId="44" fontId="32" fillId="13" borderId="0" xfId="3" applyFont="1" applyFill="1"/>
    <xf numFmtId="44" fontId="1" fillId="0" borderId="0" xfId="3" applyFont="1"/>
    <xf numFmtId="9" fontId="1" fillId="9" borderId="0" xfId="1" applyFont="1" applyFill="1" applyBorder="1"/>
    <xf numFmtId="165" fontId="20" fillId="15" borderId="0" xfId="0" applyNumberFormat="1" applyFont="1" applyFill="1"/>
    <xf numFmtId="165" fontId="30" fillId="15" borderId="0" xfId="0" applyNumberFormat="1" applyFont="1" applyFill="1"/>
    <xf numFmtId="10" fontId="20" fillId="15" borderId="0" xfId="1" applyNumberFormat="1" applyFont="1" applyFill="1"/>
    <xf numFmtId="44" fontId="20" fillId="5" borderId="0" xfId="3" applyFont="1" applyFill="1"/>
    <xf numFmtId="165" fontId="33" fillId="13" borderId="0" xfId="0" applyNumberFormat="1" applyFont="1" applyFill="1"/>
    <xf numFmtId="165" fontId="1" fillId="2" borderId="7" xfId="0" applyNumberFormat="1" applyFont="1" applyFill="1" applyBorder="1"/>
    <xf numFmtId="165" fontId="1" fillId="14" borderId="10" xfId="0" applyNumberFormat="1" applyFont="1" applyFill="1" applyBorder="1"/>
    <xf numFmtId="165" fontId="1" fillId="14" borderId="11" xfId="0" applyNumberFormat="1" applyFont="1" applyFill="1" applyBorder="1"/>
    <xf numFmtId="165" fontId="1" fillId="0" borderId="10" xfId="0" applyNumberFormat="1" applyFont="1" applyBorder="1"/>
    <xf numFmtId="165" fontId="1" fillId="0" borderId="11" xfId="0" applyNumberFormat="1" applyFont="1" applyBorder="1"/>
    <xf numFmtId="165" fontId="1" fillId="2" borderId="14" xfId="0" applyNumberFormat="1" applyFont="1" applyFill="1" applyBorder="1"/>
    <xf numFmtId="165" fontId="1" fillId="0" borderId="14" xfId="0" applyNumberFormat="1" applyFont="1" applyBorder="1"/>
    <xf numFmtId="165" fontId="34" fillId="9" borderId="9" xfId="0" applyNumberFormat="1" applyFont="1" applyFill="1" applyBorder="1"/>
    <xf numFmtId="165" fontId="1" fillId="0" borderId="12" xfId="0" applyNumberFormat="1" applyFont="1" applyBorder="1"/>
    <xf numFmtId="9" fontId="1" fillId="0" borderId="12" xfId="1" applyFont="1" applyBorder="1"/>
    <xf numFmtId="165" fontId="1" fillId="0" borderId="13" xfId="0" applyNumberFormat="1" applyFont="1" applyBorder="1"/>
    <xf numFmtId="167" fontId="1" fillId="0" borderId="0" xfId="0" applyNumberFormat="1" applyFont="1"/>
    <xf numFmtId="173" fontId="1" fillId="0" borderId="12" xfId="0" applyNumberFormat="1" applyFont="1" applyBorder="1"/>
    <xf numFmtId="2" fontId="1" fillId="0" borderId="0" xfId="1" applyNumberFormat="1" applyFont="1"/>
    <xf numFmtId="165" fontId="1" fillId="0" borderId="13" xfId="0" applyNumberFormat="1" applyFont="1" applyBorder="1" applyAlignment="1">
      <alignment horizontal="center"/>
    </xf>
    <xf numFmtId="44" fontId="0" fillId="0" borderId="0" xfId="3" applyFont="1"/>
    <xf numFmtId="174" fontId="0" fillId="0" borderId="0" xfId="0" applyNumberFormat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7" fontId="39" fillId="9" borderId="9" xfId="0" applyNumberFormat="1" applyFont="1" applyFill="1" applyBorder="1"/>
    <xf numFmtId="167" fontId="40" fillId="9" borderId="9" xfId="0" applyNumberFormat="1" applyFont="1" applyFill="1" applyBorder="1"/>
    <xf numFmtId="0" fontId="0" fillId="0" borderId="17" xfId="0" applyBorder="1"/>
    <xf numFmtId="0" fontId="41" fillId="0" borderId="17" xfId="0" applyFont="1" applyBorder="1"/>
    <xf numFmtId="0" fontId="42" fillId="0" borderId="17" xfId="0" applyFont="1" applyBorder="1"/>
    <xf numFmtId="0" fontId="24" fillId="0" borderId="0" xfId="0" applyFont="1"/>
    <xf numFmtId="0" fontId="43" fillId="6" borderId="0" xfId="0" applyFont="1" applyFill="1"/>
    <xf numFmtId="0" fontId="44" fillId="0" borderId="0" xfId="0" applyFont="1"/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4" fillId="0" borderId="0" xfId="0" applyNumberFormat="1" applyFont="1" applyAlignment="1">
      <alignment horizontal="center"/>
    </xf>
    <xf numFmtId="2" fontId="24" fillId="0" borderId="0" xfId="0" applyNumberFormat="1" applyFont="1"/>
    <xf numFmtId="10" fontId="24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44" fontId="24" fillId="0" borderId="0" xfId="3" applyFont="1" applyAlignment="1">
      <alignment horizontal="right"/>
    </xf>
    <xf numFmtId="0" fontId="1" fillId="9" borderId="6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12" fillId="3" borderId="0" xfId="0" applyNumberFormat="1" applyFont="1" applyFill="1" applyAlignment="1">
      <alignment horizontal="center"/>
    </xf>
    <xf numFmtId="167" fontId="7" fillId="4" borderId="0" xfId="0" applyNumberFormat="1" applyFont="1" applyFill="1" applyAlignment="1">
      <alignment horizontal="center" vertical="center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3300"/>
      <color rgb="FFA85400"/>
      <color rgb="FFFF993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09565284568865E-2"/>
          <c:y val="8.3155999345228354E-2"/>
          <c:w val="0.91915796978290409"/>
          <c:h val="0.763017406012986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9EF-43F9-82B0-6DDC412688D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EF-43F9-82B0-6DDC412688D9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9EF-43F9-82B0-6DDC412688D9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EF-43F9-82B0-6DDC412688D9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9EF-43F9-82B0-6DDC412688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'RATIO ANALYSIS'!$D$4:$I$4</c15:sqref>
                  </c15:fullRef>
                </c:ext>
              </c:extLst>
              <c:f>'RATIO ANALYSIS'!$D$4:$H$4</c:f>
              <c:numCache>
                <c:formatCode>0_ ;[Red]\(0\)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'RATIO ANALYSIS'!$D$7:$I$7</c15:sqref>
                  </c15:fullRef>
                </c:ext>
              </c:extLst>
              <c:f>'RATIO ANALYSIS'!$D$7:$H$7</c:f>
              <c:numCache>
                <c:formatCode>0%</c:formatCode>
                <c:ptCount val="5"/>
                <c:pt idx="0">
                  <c:v>4.287890966021668E-2</c:v>
                </c:pt>
                <c:pt idx="1">
                  <c:v>0.12574722627335411</c:v>
                </c:pt>
                <c:pt idx="2">
                  <c:v>8.240523975707581E-2</c:v>
                </c:pt>
                <c:pt idx="3">
                  <c:v>0.14630894815008166</c:v>
                </c:pt>
                <c:pt idx="4">
                  <c:v>3.5115014795213062E-2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3F9-82B0-6DDC41268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013855"/>
        <c:axId val="1507014335"/>
      </c:barChart>
      <c:catAx>
        <c:axId val="1507013855"/>
        <c:scaling>
          <c:orientation val="minMax"/>
        </c:scaling>
        <c:delete val="0"/>
        <c:axPos val="b"/>
        <c:numFmt formatCode="0_ 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014335"/>
        <c:crosses val="autoZero"/>
        <c:auto val="1"/>
        <c:lblAlgn val="ctr"/>
        <c:lblOffset val="100"/>
        <c:noMultiLvlLbl val="0"/>
      </c:catAx>
      <c:valAx>
        <c:axId val="1507014335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150701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37-449E-9CBA-E74EC9A52AD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537-449E-9CBA-E74EC9A52AD3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37-449E-9CBA-E74EC9A52AD3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37-449E-9CBA-E74EC9A52AD3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537-449E-9CBA-E74EC9A52AD3}"/>
              </c:ext>
            </c:extLst>
          </c:dPt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ANALYSIS'!$E$16:$I$16</c:f>
              <c:numCache>
                <c:formatCode>0%</c:formatCode>
                <c:ptCount val="5"/>
                <c:pt idx="0">
                  <c:v>0.21485459198820958</c:v>
                </c:pt>
                <c:pt idx="1">
                  <c:v>0.1714145042606742</c:v>
                </c:pt>
                <c:pt idx="2">
                  <c:v>0.21028615598860148</c:v>
                </c:pt>
                <c:pt idx="3">
                  <c:v>0.20143572141184446</c:v>
                </c:pt>
                <c:pt idx="4">
                  <c:v>0.18830586529206647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37-449E-9CBA-E74EC9A52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722671"/>
        <c:axId val="1573713551"/>
      </c:barChart>
      <c:catAx>
        <c:axId val="1573722671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13551"/>
        <c:crosses val="autoZero"/>
        <c:auto val="1"/>
        <c:lblAlgn val="ctr"/>
        <c:lblOffset val="100"/>
        <c:noMultiLvlLbl val="0"/>
      </c:catAx>
      <c:valAx>
        <c:axId val="1573713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57372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79-47B3-83C2-869EA36640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79-47B3-83C2-869EA366404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79-47B3-83C2-869EA366404D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79-47B3-83C2-869EA366404D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79-47B3-83C2-869EA36640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ANALYSIS'!$E$53:$I$53</c:f>
              <c:numCache>
                <c:formatCode>0.00_ ;[Red]\(0.00\)</c:formatCode>
                <c:ptCount val="5"/>
                <c:pt idx="0">
                  <c:v>2822.3599999999997</c:v>
                </c:pt>
                <c:pt idx="1">
                  <c:v>2423.1599999999985</c:v>
                </c:pt>
                <c:pt idx="2">
                  <c:v>3427.7799999999979</c:v>
                </c:pt>
                <c:pt idx="3">
                  <c:v>3377.9300000000012</c:v>
                </c:pt>
                <c:pt idx="4">
                  <c:v>3378.7100000000028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9-47B3-83C2-869EA36640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227055"/>
        <c:axId val="293243855"/>
      </c:barChart>
      <c:catAx>
        <c:axId val="293227055"/>
        <c:scaling>
          <c:orientation val="minMax"/>
        </c:scaling>
        <c:delete val="0"/>
        <c:axPos val="b"/>
        <c:numFmt formatCode="0_ ;[Red]\(0\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43855"/>
        <c:crosses val="autoZero"/>
        <c:auto val="1"/>
        <c:lblAlgn val="ctr"/>
        <c:lblOffset val="100"/>
        <c:noMultiLvlLbl val="0"/>
      </c:catAx>
      <c:valAx>
        <c:axId val="293243855"/>
        <c:scaling>
          <c:orientation val="minMax"/>
        </c:scaling>
        <c:delete val="1"/>
        <c:axPos val="l"/>
        <c:numFmt formatCode="0.00_ ;[Red]\(0.00\)" sourceLinked="1"/>
        <c:majorTickMark val="out"/>
        <c:minorTickMark val="none"/>
        <c:tickLblPos val="nextTo"/>
        <c:crossAx val="29322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2504930966469E-2"/>
          <c:y val="7.521367521367521E-2"/>
          <c:w val="0.95660749506903353"/>
          <c:h val="0.766165690827108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01-4185-99A3-905CADA77A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01-4185-99A3-905CADA77A9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01-4185-99A3-905CADA77A9D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01-4185-99A3-905CADA77A9D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01-4185-99A3-905CADA77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ANALYSIS'!$E$52:$I$52</c:f>
              <c:numCache>
                <c:formatCode>0.00_ ;[Red]\(0.00\)</c:formatCode>
                <c:ptCount val="5"/>
                <c:pt idx="0">
                  <c:v>2625.12</c:v>
                </c:pt>
                <c:pt idx="1">
                  <c:v>2223.5999999999985</c:v>
                </c:pt>
                <c:pt idx="2">
                  <c:v>2826.2699999999982</c:v>
                </c:pt>
                <c:pt idx="3">
                  <c:v>3080.3700000000013</c:v>
                </c:pt>
                <c:pt idx="4">
                  <c:v>3090.1600000000026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185-99A3-905CADA77A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3743311"/>
        <c:axId val="1573756751"/>
      </c:barChart>
      <c:catAx>
        <c:axId val="1573743311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56751"/>
        <c:crosses val="autoZero"/>
        <c:auto val="1"/>
        <c:lblAlgn val="ctr"/>
        <c:lblOffset val="100"/>
        <c:noMultiLvlLbl val="0"/>
      </c:catAx>
      <c:valAx>
        <c:axId val="1573756751"/>
        <c:scaling>
          <c:orientation val="minMax"/>
        </c:scaling>
        <c:delete val="1"/>
        <c:axPos val="l"/>
        <c:numFmt formatCode="0.00_ ;[Red]\(0.00\)" sourceLinked="1"/>
        <c:majorTickMark val="none"/>
        <c:minorTickMark val="none"/>
        <c:tickLblPos val="nextTo"/>
        <c:crossAx val="157374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56843182973536E-3"/>
          <c:y val="0.1205535184920936"/>
          <c:w val="0.85874246339362614"/>
          <c:h val="0.762512029746281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2C-4D15-B402-AEA917C82C3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2C-4D15-B402-AEA917C82C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2C-4D15-B402-AEA917C82C31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2C-4D15-B402-AEA917C82C31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2C-4D15-B402-AEA917C82C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ANALYSIS'!$E$46:$I$46</c:f>
              <c:numCache>
                <c:formatCode>0%</c:formatCode>
                <c:ptCount val="5"/>
                <c:pt idx="0">
                  <c:v>0.46552853975038011</c:v>
                </c:pt>
                <c:pt idx="1">
                  <c:v>0.49657372710358699</c:v>
                </c:pt>
                <c:pt idx="2">
                  <c:v>0.76040030398678926</c:v>
                </c:pt>
                <c:pt idx="3">
                  <c:v>0.57096841939112819</c:v>
                </c:pt>
                <c:pt idx="4">
                  <c:v>0.5249601072163762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C-4D15-B402-AEA917C82C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903407"/>
        <c:axId val="116905807"/>
      </c:barChart>
      <c:catAx>
        <c:axId val="116903407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5807"/>
        <c:crosses val="autoZero"/>
        <c:auto val="1"/>
        <c:lblAlgn val="ctr"/>
        <c:lblOffset val="100"/>
        <c:noMultiLvlLbl val="0"/>
      </c:catAx>
      <c:valAx>
        <c:axId val="11690580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690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3F-4318-A585-C4DF5E14E1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3F-4318-A585-C4DF5E14E175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3F-4318-A585-C4DF5E14E175}"/>
              </c:ext>
            </c:extLst>
          </c:dPt>
          <c:dPt>
            <c:idx val="3"/>
            <c:invertIfNegative val="0"/>
            <c:bubble3D val="0"/>
            <c:spPr>
              <a:solidFill>
                <a:srgbClr val="FF993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3F-4318-A585-C4DF5E14E175}"/>
              </c:ext>
            </c:extLst>
          </c:dPt>
          <c:dPt>
            <c:idx val="4"/>
            <c:invertIfNegative val="0"/>
            <c:bubble3D val="0"/>
            <c:spPr>
              <a:solidFill>
                <a:srgbClr val="A85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3F-4318-A585-C4DF5E14E1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ANALYSIS'!$E$4:$I$4</c:f>
              <c:numCache>
                <c:formatCode>0_ ;[Red]\(0\)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'RATIO ANALYSIS'!$E$15:$I$15</c:f>
              <c:numCache>
                <c:formatCode>0%</c:formatCode>
                <c:ptCount val="5"/>
                <c:pt idx="0">
                  <c:v>0.41945655268594889</c:v>
                </c:pt>
                <c:pt idx="1">
                  <c:v>0.3802957783741952</c:v>
                </c:pt>
                <c:pt idx="2">
                  <c:v>0.41159654122100164</c:v>
                </c:pt>
                <c:pt idx="3">
                  <c:v>0.43396283797684704</c:v>
                </c:pt>
                <c:pt idx="4">
                  <c:v>0.40900378817645311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F-4318-A585-C4DF5E14E1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3213615"/>
        <c:axId val="293213135"/>
      </c:barChart>
      <c:catAx>
        <c:axId val="293213615"/>
        <c:scaling>
          <c:orientation val="minMax"/>
        </c:scaling>
        <c:delete val="0"/>
        <c:axPos val="b"/>
        <c:numFmt formatCode="0_ 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13135"/>
        <c:crosses val="autoZero"/>
        <c:auto val="1"/>
        <c:lblAlgn val="ctr"/>
        <c:lblOffset val="100"/>
        <c:noMultiLvlLbl val="0"/>
      </c:catAx>
      <c:valAx>
        <c:axId val="2932131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9321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0</xdr:row>
      <xdr:rowOff>74010</xdr:rowOff>
    </xdr:from>
    <xdr:to>
      <xdr:col>39</xdr:col>
      <xdr:colOff>7398</xdr:colOff>
      <xdr:row>1</xdr:row>
      <xdr:rowOff>103573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A1E95A-80E5-A5EA-0ADB-80DE3187CA29}"/>
            </a:ext>
          </a:extLst>
        </xdr:cNvPr>
        <xdr:cNvSpPr/>
      </xdr:nvSpPr>
      <xdr:spPr>
        <a:xfrm>
          <a:off x="362750" y="74010"/>
          <a:ext cx="13660005" cy="210992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169648</xdr:colOff>
      <xdr:row>2</xdr:row>
      <xdr:rowOff>16266</xdr:rowOff>
    </xdr:from>
    <xdr:to>
      <xdr:col>11</xdr:col>
      <xdr:colOff>96175</xdr:colOff>
      <xdr:row>4</xdr:row>
      <xdr:rowOff>21008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E72288C-408E-D016-3ADC-651B102984DD}"/>
            </a:ext>
          </a:extLst>
        </xdr:cNvPr>
        <xdr:cNvGrpSpPr/>
      </xdr:nvGrpSpPr>
      <xdr:grpSpPr>
        <a:xfrm>
          <a:off x="3003000" y="381167"/>
          <a:ext cx="989034" cy="369644"/>
          <a:chOff x="2068497" y="355107"/>
          <a:chExt cx="979503" cy="49271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A0BF0B3-E4BF-F0E9-031E-F73C3A04E18C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Market</a:t>
            </a:r>
            <a:r>
              <a:rPr lang="en-IN" sz="1100" b="1" baseline="0"/>
              <a:t> </a:t>
            </a:r>
            <a:r>
              <a:rPr lang="en-IN" sz="1100" b="1" baseline="0">
                <a:solidFill>
                  <a:srgbClr val="C00000"/>
                </a:solidFill>
              </a:rPr>
              <a:t>Cap</a:t>
            </a:r>
            <a:endParaRPr lang="en-IN" sz="1100" b="1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857C7BE-D143-4351-911D-88096D31F3ED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146894 Cr</a:t>
            </a:r>
            <a:r>
              <a:rPr lang="en-IN" sz="1100"/>
              <a:t>.</a:t>
            </a:r>
          </a:p>
        </xdr:txBody>
      </xdr:sp>
    </xdr:grpSp>
    <xdr:clientData/>
  </xdr:twoCellAnchor>
  <xdr:twoCellAnchor>
    <xdr:from>
      <xdr:col>23</xdr:col>
      <xdr:colOff>14486</xdr:colOff>
      <xdr:row>2</xdr:row>
      <xdr:rowOff>7399</xdr:rowOff>
    </xdr:from>
    <xdr:to>
      <xdr:col>25</xdr:col>
      <xdr:colOff>341641</xdr:colOff>
      <xdr:row>4</xdr:row>
      <xdr:rowOff>5634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C73A2899-D91A-4285-B96C-54D4222ECD7A}"/>
            </a:ext>
          </a:extLst>
        </xdr:cNvPr>
        <xdr:cNvGrpSpPr/>
      </xdr:nvGrpSpPr>
      <xdr:grpSpPr>
        <a:xfrm>
          <a:off x="8235500" y="372300"/>
          <a:ext cx="701286" cy="363137"/>
          <a:chOff x="2082859" y="363664"/>
          <a:chExt cx="947824" cy="484152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02ED7B97-2DDC-ADF5-AC43-09AE0534643D}"/>
              </a:ext>
            </a:extLst>
          </xdr:cNvPr>
          <xdr:cNvSpPr/>
        </xdr:nvSpPr>
        <xdr:spPr>
          <a:xfrm>
            <a:off x="2083145" y="363664"/>
            <a:ext cx="946306" cy="233508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Revenue</a:t>
            </a:r>
            <a:r>
              <a:rPr lang="en-IN" sz="1100" b="1" baseline="0">
                <a:solidFill>
                  <a:srgbClr val="C00000"/>
                </a:solidFill>
              </a:rPr>
              <a:t> Growth</a:t>
            </a:r>
            <a:endParaRPr lang="en-IN" sz="1100" b="1">
              <a:solidFill>
                <a:srgbClr val="C00000"/>
              </a:solidFill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B79871D2-7B19-B9FF-AE9B-16FDFBAAA3B4}"/>
              </a:ext>
            </a:extLst>
          </xdr:cNvPr>
          <xdr:cNvSpPr/>
        </xdr:nvSpPr>
        <xdr:spPr>
          <a:xfrm>
            <a:off x="2082859" y="603680"/>
            <a:ext cx="94782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6%</a:t>
            </a:r>
          </a:p>
        </xdr:txBody>
      </xdr:sp>
    </xdr:grpSp>
    <xdr:clientData/>
  </xdr:twoCellAnchor>
  <xdr:twoCellAnchor>
    <xdr:from>
      <xdr:col>13</xdr:col>
      <xdr:colOff>122181</xdr:colOff>
      <xdr:row>1</xdr:row>
      <xdr:rowOff>181810</xdr:rowOff>
    </xdr:from>
    <xdr:to>
      <xdr:col>16</xdr:col>
      <xdr:colOff>44390</xdr:colOff>
      <xdr:row>4</xdr:row>
      <xdr:rowOff>14795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CAAE31C-940F-42A3-B9C4-A11C7292CC4B}"/>
            </a:ext>
          </a:extLst>
        </xdr:cNvPr>
        <xdr:cNvGrpSpPr/>
      </xdr:nvGrpSpPr>
      <xdr:grpSpPr>
        <a:xfrm>
          <a:off x="4726378" y="364261"/>
          <a:ext cx="984716" cy="380337"/>
          <a:chOff x="2068497" y="364837"/>
          <a:chExt cx="979504" cy="482980"/>
        </a:xfrm>
      </xdr:grpSpPr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E22A07DD-39E0-1001-34A6-35624AD95ECE}"/>
              </a:ext>
            </a:extLst>
          </xdr:cNvPr>
          <xdr:cNvSpPr/>
        </xdr:nvSpPr>
        <xdr:spPr>
          <a:xfrm>
            <a:off x="2071456" y="364837"/>
            <a:ext cx="976545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Revenue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84C2CE4A-5CE6-3AF0-7430-78926D5FECDE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17942.67</a:t>
            </a:r>
          </a:p>
        </xdr:txBody>
      </xdr:sp>
    </xdr:grpSp>
    <xdr:clientData/>
  </xdr:twoCellAnchor>
  <xdr:twoCellAnchor>
    <xdr:from>
      <xdr:col>18</xdr:col>
      <xdr:colOff>177554</xdr:colOff>
      <xdr:row>1</xdr:row>
      <xdr:rowOff>181511</xdr:rowOff>
    </xdr:from>
    <xdr:to>
      <xdr:col>20</xdr:col>
      <xdr:colOff>335810</xdr:colOff>
      <xdr:row>4</xdr:row>
      <xdr:rowOff>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B9B5F63-A320-48A5-9AE2-82AE7753EE55}"/>
            </a:ext>
          </a:extLst>
        </xdr:cNvPr>
        <xdr:cNvGrpSpPr/>
      </xdr:nvGrpSpPr>
      <xdr:grpSpPr>
        <a:xfrm>
          <a:off x="6681385" y="363962"/>
          <a:ext cx="812932" cy="365841"/>
          <a:chOff x="2057445" y="355107"/>
          <a:chExt cx="979288" cy="492710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D4B22C7D-1299-1155-961B-828F744682B6}"/>
              </a:ext>
            </a:extLst>
          </xdr:cNvPr>
          <xdr:cNvSpPr/>
        </xdr:nvSpPr>
        <xdr:spPr>
          <a:xfrm>
            <a:off x="2057445" y="355107"/>
            <a:ext cx="976544" cy="244137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Net</a:t>
            </a:r>
            <a:r>
              <a:rPr lang="en-IN" sz="1100" b="1" baseline="0">
                <a:solidFill>
                  <a:srgbClr val="C00000"/>
                </a:solidFill>
              </a:rPr>
              <a:t> Profit</a:t>
            </a:r>
            <a:r>
              <a:rPr lang="en-IN" sz="1100"/>
              <a:t>	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589DB7B2-D733-A095-9CDA-7F5E465DC11B}"/>
              </a:ext>
            </a:extLst>
          </xdr:cNvPr>
          <xdr:cNvSpPr/>
        </xdr:nvSpPr>
        <xdr:spPr>
          <a:xfrm>
            <a:off x="2060189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2177.86</a:t>
            </a:r>
          </a:p>
        </xdr:txBody>
      </xdr:sp>
    </xdr:grpSp>
    <xdr:clientData/>
  </xdr:twoCellAnchor>
  <xdr:twoCellAnchor>
    <xdr:from>
      <xdr:col>28</xdr:col>
      <xdr:colOff>14795</xdr:colOff>
      <xdr:row>1</xdr:row>
      <xdr:rowOff>169561</xdr:rowOff>
    </xdr:from>
    <xdr:to>
      <xdr:col>30</xdr:col>
      <xdr:colOff>340309</xdr:colOff>
      <xdr:row>3</xdr:row>
      <xdr:rowOff>174303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29F09A3-AAC6-4EED-B22B-E05729F2B841}"/>
            </a:ext>
          </a:extLst>
        </xdr:cNvPr>
        <xdr:cNvGrpSpPr/>
      </xdr:nvGrpSpPr>
      <xdr:grpSpPr>
        <a:xfrm>
          <a:off x="9663218" y="352012"/>
          <a:ext cx="1033852" cy="369643"/>
          <a:chOff x="2068497" y="355107"/>
          <a:chExt cx="979503" cy="49271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A264DB11-1E8E-2245-E276-68C589EAA19F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ROE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F2A4846-451A-5975-1CE4-4C22AF89D2DB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52%</a:t>
            </a:r>
            <a:br>
              <a:rPr lang="en-IN" sz="1100"/>
            </a:br>
            <a:endParaRPr lang="en-IN" sz="1100"/>
          </a:p>
        </xdr:txBody>
      </xdr:sp>
    </xdr:grpSp>
    <xdr:clientData/>
  </xdr:twoCellAnchor>
  <xdr:twoCellAnchor>
    <xdr:from>
      <xdr:col>33</xdr:col>
      <xdr:colOff>7399</xdr:colOff>
      <xdr:row>1</xdr:row>
      <xdr:rowOff>183886</xdr:rowOff>
    </xdr:from>
    <xdr:to>
      <xdr:col>35</xdr:col>
      <xdr:colOff>340310</xdr:colOff>
      <xdr:row>4</xdr:row>
      <xdr:rowOff>3676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81B2EDB0-CE28-4E09-B56D-73FE82128D98}"/>
            </a:ext>
          </a:extLst>
        </xdr:cNvPr>
        <xdr:cNvGrpSpPr/>
      </xdr:nvGrpSpPr>
      <xdr:grpSpPr>
        <a:xfrm>
          <a:off x="11426667" y="366337"/>
          <a:ext cx="1084178" cy="367142"/>
          <a:chOff x="2068497" y="355107"/>
          <a:chExt cx="979503" cy="492710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20BB1FA9-8BF3-8575-AD7C-238FCF774887}"/>
              </a:ext>
            </a:extLst>
          </xdr:cNvPr>
          <xdr:cNvSpPr/>
        </xdr:nvSpPr>
        <xdr:spPr>
          <a:xfrm>
            <a:off x="2071456" y="355107"/>
            <a:ext cx="976544" cy="244136"/>
          </a:xfrm>
          <a:prstGeom prst="rect">
            <a:avLst/>
          </a:prstGeom>
          <a:solidFill>
            <a:srgbClr val="FFC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rgbClr val="C00000"/>
                </a:solidFill>
              </a:rPr>
              <a:t>ROCE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B31FCB7B-29EB-0324-D400-4A04874A8FA8}"/>
              </a:ext>
            </a:extLst>
          </xdr:cNvPr>
          <xdr:cNvSpPr/>
        </xdr:nvSpPr>
        <xdr:spPr>
          <a:xfrm>
            <a:off x="2068497" y="603681"/>
            <a:ext cx="976544" cy="244136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IN" sz="1100" b="1">
                <a:solidFill>
                  <a:schemeClr val="tx1"/>
                </a:solidFill>
              </a:rPr>
              <a:t>61%</a:t>
            </a:r>
          </a:p>
        </xdr:txBody>
      </xdr:sp>
    </xdr:grpSp>
    <xdr:clientData/>
  </xdr:twoCellAnchor>
  <xdr:twoCellAnchor editAs="oneCell">
    <xdr:from>
      <xdr:col>1</xdr:col>
      <xdr:colOff>105646</xdr:colOff>
      <xdr:row>1</xdr:row>
      <xdr:rowOff>178134</xdr:rowOff>
    </xdr:from>
    <xdr:to>
      <xdr:col>6</xdr:col>
      <xdr:colOff>199748</xdr:colOff>
      <xdr:row>7</xdr:row>
      <xdr:rowOff>51787</xdr:rowOff>
    </xdr:to>
    <xdr:pic>
      <xdr:nvPicPr>
        <xdr:cNvPr id="38" name="Graphic 37">
          <a:extLst>
            <a:ext uri="{FF2B5EF4-FFF2-40B4-BE49-F238E27FC236}">
              <a16:creationId xmlns:a16="http://schemas.microsoft.com/office/drawing/2014/main" id="{D9617081-3821-1D33-90E4-ED82EB040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355" y="363085"/>
          <a:ext cx="1832645" cy="983362"/>
        </a:xfrm>
        <a:prstGeom prst="rect">
          <a:avLst/>
        </a:prstGeom>
      </xdr:spPr>
    </xdr:pic>
    <xdr:clientData/>
  </xdr:twoCellAnchor>
  <xdr:twoCellAnchor>
    <xdr:from>
      <xdr:col>0</xdr:col>
      <xdr:colOff>347795</xdr:colOff>
      <xdr:row>8</xdr:row>
      <xdr:rowOff>177275</xdr:rowOff>
    </xdr:from>
    <xdr:to>
      <xdr:col>5</xdr:col>
      <xdr:colOff>167268</xdr:colOff>
      <xdr:row>10</xdr:row>
      <xdr:rowOff>176560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3B90A10-BB8E-4A77-A0A5-DEE9F0F5238E}"/>
            </a:ext>
          </a:extLst>
        </xdr:cNvPr>
        <xdr:cNvSpPr/>
      </xdr:nvSpPr>
      <xdr:spPr>
        <a:xfrm>
          <a:off x="347795" y="1664104"/>
          <a:ext cx="1585083" cy="37099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FINANCIAL</a:t>
          </a:r>
          <a:r>
            <a:rPr lang="en-IN" sz="1100" b="1" baseline="0">
              <a:solidFill>
                <a:srgbClr val="C00000"/>
              </a:solidFill>
            </a:rPr>
            <a:t> YEAR : 2025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244241</xdr:colOff>
      <xdr:row>12</xdr:row>
      <xdr:rowOff>148683</xdr:rowOff>
    </xdr:from>
    <xdr:to>
      <xdr:col>39</xdr:col>
      <xdr:colOff>27879</xdr:colOff>
      <xdr:row>14</xdr:row>
      <xdr:rowOff>1859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9A62CCE-FB07-45E4-84DD-35CA7E746A57}"/>
            </a:ext>
          </a:extLst>
        </xdr:cNvPr>
        <xdr:cNvSpPr/>
      </xdr:nvSpPr>
      <xdr:spPr>
        <a:xfrm>
          <a:off x="10327134" y="2353040"/>
          <a:ext cx="3722906" cy="220569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EBITDA</a:t>
          </a:r>
          <a:r>
            <a:rPr lang="en-IN" sz="1100" b="1" baseline="0">
              <a:solidFill>
                <a:srgbClr val="C00000"/>
              </a:solidFill>
            </a:rPr>
            <a:t> MARGIN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303714</xdr:colOff>
      <xdr:row>12</xdr:row>
      <xdr:rowOff>152401</xdr:rowOff>
    </xdr:from>
    <xdr:to>
      <xdr:col>11</xdr:col>
      <xdr:colOff>143108</xdr:colOff>
      <xdr:row>14</xdr:row>
      <xdr:rowOff>5577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A5D88E02-B4AC-42E0-B2B6-98BDE5277613}"/>
            </a:ext>
          </a:extLst>
        </xdr:cNvPr>
        <xdr:cNvSpPr/>
      </xdr:nvSpPr>
      <xdr:spPr>
        <a:xfrm>
          <a:off x="303714" y="238264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REVENUE</a:t>
          </a:r>
          <a:r>
            <a:rPr lang="en-IN" sz="1100" b="1" baseline="0">
              <a:solidFill>
                <a:srgbClr val="C00000"/>
              </a:solidFill>
            </a:rPr>
            <a:t> GROWTH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15</xdr:col>
      <xdr:colOff>18586</xdr:colOff>
      <xdr:row>12</xdr:row>
      <xdr:rowOff>157976</xdr:rowOff>
    </xdr:from>
    <xdr:to>
      <xdr:col>24</xdr:col>
      <xdr:colOff>238979</xdr:colOff>
      <xdr:row>14</xdr:row>
      <xdr:rowOff>11152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8687581-20C6-48E7-B4DB-CD38C8FA00A3}"/>
            </a:ext>
          </a:extLst>
        </xdr:cNvPr>
        <xdr:cNvSpPr/>
      </xdr:nvSpPr>
      <xdr:spPr>
        <a:xfrm>
          <a:off x="5315415" y="2388220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GROWTH</a:t>
          </a:r>
          <a:r>
            <a:rPr lang="en-IN" sz="1100" b="1" baseline="0">
              <a:solidFill>
                <a:srgbClr val="C00000"/>
              </a:solidFill>
            </a:rPr>
            <a:t> PROFIT MARGIN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3718</xdr:colOff>
      <xdr:row>25</xdr:row>
      <xdr:rowOff>161694</xdr:rowOff>
    </xdr:from>
    <xdr:to>
      <xdr:col>11</xdr:col>
      <xdr:colOff>196234</xdr:colOff>
      <xdr:row>27</xdr:row>
      <xdr:rowOff>14869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B5958A2-5E7D-4C24-9F49-C5FA9EF445A9}"/>
            </a:ext>
          </a:extLst>
        </xdr:cNvPr>
        <xdr:cNvSpPr/>
      </xdr:nvSpPr>
      <xdr:spPr>
        <a:xfrm>
          <a:off x="356840" y="480803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EBITDA</a:t>
          </a:r>
          <a:r>
            <a:rPr lang="en-IN" sz="1100" b="1" baseline="0">
              <a:solidFill>
                <a:srgbClr val="C00000"/>
              </a:solidFill>
            </a:rPr>
            <a:t> (INR CRORES)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14</xdr:col>
      <xdr:colOff>276923</xdr:colOff>
      <xdr:row>26</xdr:row>
      <xdr:rowOff>16728</xdr:rowOff>
    </xdr:from>
    <xdr:to>
      <xdr:col>24</xdr:col>
      <xdr:colOff>144194</xdr:colOff>
      <xdr:row>27</xdr:row>
      <xdr:rowOff>55757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1A4BFD7-C72D-4E91-9C13-B57D9B07FFB9}"/>
            </a:ext>
          </a:extLst>
        </xdr:cNvPr>
        <xdr:cNvSpPr/>
      </xdr:nvSpPr>
      <xdr:spPr>
        <a:xfrm>
          <a:off x="5220630" y="4848923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EBIT</a:t>
          </a:r>
          <a:r>
            <a:rPr lang="en-IN" sz="1100" b="1" baseline="0">
              <a:solidFill>
                <a:srgbClr val="C00000"/>
              </a:solidFill>
            </a:rPr>
            <a:t> (INR CRORES)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28</xdr:col>
      <xdr:colOff>271347</xdr:colOff>
      <xdr:row>26</xdr:row>
      <xdr:rowOff>1860</xdr:rowOff>
    </xdr:from>
    <xdr:to>
      <xdr:col>39</xdr:col>
      <xdr:colOff>54985</xdr:colOff>
      <xdr:row>27</xdr:row>
      <xdr:rowOff>40889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72318FF-F518-4CFA-8C5B-6805E111A077}"/>
            </a:ext>
          </a:extLst>
        </xdr:cNvPr>
        <xdr:cNvSpPr/>
      </xdr:nvSpPr>
      <xdr:spPr>
        <a:xfrm>
          <a:off x="10326030" y="4834055"/>
          <a:ext cx="3723735" cy="224883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ROE</a:t>
          </a:r>
          <a:r>
            <a:rPr lang="en-IN" sz="1100" b="1" baseline="0">
              <a:solidFill>
                <a:srgbClr val="C00000"/>
              </a:solidFill>
            </a:rPr>
            <a:t> (%)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17780</xdr:colOff>
      <xdr:row>15</xdr:row>
      <xdr:rowOff>35562</xdr:rowOff>
    </xdr:from>
    <xdr:to>
      <xdr:col>10</xdr:col>
      <xdr:colOff>289832</xdr:colOff>
      <xdr:row>25</xdr:row>
      <xdr:rowOff>31298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D4E0CD-B8D8-4021-8F5D-EA140B45C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310413</xdr:colOff>
      <xdr:row>14</xdr:row>
      <xdr:rowOff>167822</xdr:rowOff>
    </xdr:from>
    <xdr:to>
      <xdr:col>38</xdr:col>
      <xdr:colOff>277132</xdr:colOff>
      <xdr:row>24</xdr:row>
      <xdr:rowOff>172357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4C52194-B7E2-4415-9082-FC0420962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66675</xdr:colOff>
      <xdr:row>28</xdr:row>
      <xdr:rowOff>114299</xdr:rowOff>
    </xdr:from>
    <xdr:to>
      <xdr:col>11</xdr:col>
      <xdr:colOff>76200</xdr:colOff>
      <xdr:row>39</xdr:row>
      <xdr:rowOff>95249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585AE82-9312-471A-AB1D-5DF5B1D5F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209550</xdr:colOff>
      <xdr:row>29</xdr:row>
      <xdr:rowOff>19050</xdr:rowOff>
    </xdr:from>
    <xdr:to>
      <xdr:col>23</xdr:col>
      <xdr:colOff>276225</xdr:colOff>
      <xdr:row>39</xdr:row>
      <xdr:rowOff>66675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CB36D60F-D9AC-43DF-AE2D-4B1537D57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47626</xdr:colOff>
      <xdr:row>28</xdr:row>
      <xdr:rowOff>136072</xdr:rowOff>
    </xdr:from>
    <xdr:to>
      <xdr:col>39</xdr:col>
      <xdr:colOff>117929</xdr:colOff>
      <xdr:row>40</xdr:row>
      <xdr:rowOff>1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2DC4535-1BB8-4CA9-8A77-4AAC4143D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145143</xdr:colOff>
      <xdr:row>14</xdr:row>
      <xdr:rowOff>154215</xdr:rowOff>
    </xdr:from>
    <xdr:to>
      <xdr:col>24</xdr:col>
      <xdr:colOff>172357</xdr:colOff>
      <xdr:row>25</xdr:row>
      <xdr:rowOff>63501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53D27300-4CDD-4894-B683-3C2B8214C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302934</xdr:colOff>
      <xdr:row>41</xdr:row>
      <xdr:rowOff>61840</xdr:rowOff>
    </xdr:from>
    <xdr:to>
      <xdr:col>11</xdr:col>
      <xdr:colOff>141281</xdr:colOff>
      <xdr:row>42</xdr:row>
      <xdr:rowOff>96443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FCD9920-0775-44A1-9A39-A00BC3EE7EFC}"/>
            </a:ext>
          </a:extLst>
        </xdr:cNvPr>
        <xdr:cNvSpPr/>
      </xdr:nvSpPr>
      <xdr:spPr>
        <a:xfrm>
          <a:off x="302934" y="7542319"/>
          <a:ext cx="3734206" cy="217054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 b="1">
              <a:solidFill>
                <a:srgbClr val="C00000"/>
              </a:solidFill>
            </a:rPr>
            <a:t>PEER</a:t>
          </a:r>
          <a:r>
            <a:rPr lang="en-IN" sz="1100" b="1" baseline="0">
              <a:solidFill>
                <a:srgbClr val="C00000"/>
              </a:solidFill>
            </a:rPr>
            <a:t> COMPANIES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</xdr:colOff>
      <xdr:row>0</xdr:row>
      <xdr:rowOff>110296</xdr:rowOff>
    </xdr:from>
    <xdr:to>
      <xdr:col>30</xdr:col>
      <xdr:colOff>7398</xdr:colOff>
      <xdr:row>6</xdr:row>
      <xdr:rowOff>54429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77CD297-083F-42C9-9C02-EFF888F1D3C5}"/>
            </a:ext>
          </a:extLst>
        </xdr:cNvPr>
        <xdr:cNvSpPr/>
      </xdr:nvSpPr>
      <xdr:spPr>
        <a:xfrm>
          <a:off x="362750" y="110296"/>
          <a:ext cx="13015934" cy="1032704"/>
        </a:xfrm>
        <a:prstGeom prst="rect">
          <a:avLst/>
        </a:prstGeom>
        <a:solidFill>
          <a:srgbClr val="FFCC6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BRITANNIA</a:t>
          </a:r>
          <a:r>
            <a:rPr lang="en-IN" sz="2400" b="1" baseline="0">
              <a:solidFill>
                <a:srgbClr val="C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INDUSTRIES LIMITED</a:t>
          </a:r>
        </a:p>
        <a:p>
          <a:pPr algn="l"/>
          <a:r>
            <a:rPr lang="en-IN" sz="1600" b="1" baseline="0">
              <a:solidFill>
                <a:srgbClr val="6633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( BRITANNIA I BSE Code - 500825 )</a:t>
          </a:r>
        </a:p>
        <a:p>
          <a:pPr algn="l"/>
          <a:r>
            <a:rPr lang="en-IN" sz="1600" b="1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INR 6106</a:t>
          </a:r>
        </a:p>
      </xdr:txBody>
    </xdr:sp>
    <xdr:clientData/>
  </xdr:twoCellAnchor>
  <xdr:twoCellAnchor editAs="oneCell">
    <xdr:from>
      <xdr:col>22</xdr:col>
      <xdr:colOff>513862</xdr:colOff>
      <xdr:row>0</xdr:row>
      <xdr:rowOff>108857</xdr:rowOff>
    </xdr:from>
    <xdr:to>
      <xdr:col>28</xdr:col>
      <xdr:colOff>326572</xdr:colOff>
      <xdr:row>6</xdr:row>
      <xdr:rowOff>57725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5410896C-688F-43C4-BC0E-DB0075F4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82933" y="108857"/>
          <a:ext cx="2307353" cy="1037439"/>
        </a:xfrm>
        <a:prstGeom prst="rect">
          <a:avLst/>
        </a:prstGeom>
      </xdr:spPr>
    </xdr:pic>
    <xdr:clientData/>
  </xdr:twoCellAnchor>
  <xdr:twoCellAnchor>
    <xdr:from>
      <xdr:col>0</xdr:col>
      <xdr:colOff>344715</xdr:colOff>
      <xdr:row>6</xdr:row>
      <xdr:rowOff>172358</xdr:rowOff>
    </xdr:from>
    <xdr:to>
      <xdr:col>29</xdr:col>
      <xdr:colOff>343149</xdr:colOff>
      <xdr:row>8</xdr:row>
      <xdr:rowOff>20492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6667BAE-8A90-4D07-8AC0-BA59A48972E6}"/>
            </a:ext>
          </a:extLst>
        </xdr:cNvPr>
        <xdr:cNvSpPr/>
      </xdr:nvSpPr>
      <xdr:spPr>
        <a:xfrm>
          <a:off x="344715" y="1260929"/>
          <a:ext cx="13215505" cy="210992"/>
        </a:xfrm>
        <a:prstGeom prst="rect">
          <a:avLst/>
        </a:prstGeom>
        <a:solidFill>
          <a:srgbClr val="FF99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117928</xdr:colOff>
      <xdr:row>35</xdr:row>
      <xdr:rowOff>90714</xdr:rowOff>
    </xdr:from>
    <xdr:to>
      <xdr:col>3</xdr:col>
      <xdr:colOff>199571</xdr:colOff>
      <xdr:row>35</xdr:row>
      <xdr:rowOff>172357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C909547-5EFC-BB62-F0AC-887F3F2F7977}"/>
            </a:ext>
          </a:extLst>
        </xdr:cNvPr>
        <xdr:cNvSpPr/>
      </xdr:nvSpPr>
      <xdr:spPr>
        <a:xfrm>
          <a:off x="1179285" y="8590643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125185</xdr:colOff>
      <xdr:row>37</xdr:row>
      <xdr:rowOff>79829</xdr:rowOff>
    </xdr:from>
    <xdr:to>
      <xdr:col>3</xdr:col>
      <xdr:colOff>206828</xdr:colOff>
      <xdr:row>37</xdr:row>
      <xdr:rowOff>161472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0104DC-32FF-4B68-BCFA-1CD6F128958A}"/>
            </a:ext>
          </a:extLst>
        </xdr:cNvPr>
        <xdr:cNvSpPr/>
      </xdr:nvSpPr>
      <xdr:spPr>
        <a:xfrm>
          <a:off x="1186542" y="89789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114299</xdr:colOff>
      <xdr:row>39</xdr:row>
      <xdr:rowOff>87086</xdr:rowOff>
    </xdr:from>
    <xdr:to>
      <xdr:col>3</xdr:col>
      <xdr:colOff>195942</xdr:colOff>
      <xdr:row>39</xdr:row>
      <xdr:rowOff>168729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E49D77A-BE6D-4853-9BE6-4160C1413D6A}"/>
            </a:ext>
          </a:extLst>
        </xdr:cNvPr>
        <xdr:cNvSpPr/>
      </xdr:nvSpPr>
      <xdr:spPr>
        <a:xfrm>
          <a:off x="1175656" y="93853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130628</xdr:colOff>
      <xdr:row>41</xdr:row>
      <xdr:rowOff>94343</xdr:rowOff>
    </xdr:from>
    <xdr:to>
      <xdr:col>3</xdr:col>
      <xdr:colOff>212271</xdr:colOff>
      <xdr:row>41</xdr:row>
      <xdr:rowOff>175986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ACD43D5-591C-4598-8954-027C6C992C15}"/>
            </a:ext>
          </a:extLst>
        </xdr:cNvPr>
        <xdr:cNvSpPr/>
      </xdr:nvSpPr>
      <xdr:spPr>
        <a:xfrm>
          <a:off x="1191985" y="9791700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137885</xdr:colOff>
      <xdr:row>43</xdr:row>
      <xdr:rowOff>47172</xdr:rowOff>
    </xdr:from>
    <xdr:to>
      <xdr:col>3</xdr:col>
      <xdr:colOff>219528</xdr:colOff>
      <xdr:row>43</xdr:row>
      <xdr:rowOff>128815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F78043-FF32-4240-BF5A-758833CB7348}"/>
            </a:ext>
          </a:extLst>
        </xdr:cNvPr>
        <xdr:cNvSpPr/>
      </xdr:nvSpPr>
      <xdr:spPr>
        <a:xfrm>
          <a:off x="1199242" y="10143672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127000</xdr:colOff>
      <xdr:row>45</xdr:row>
      <xdr:rowOff>90714</xdr:rowOff>
    </xdr:from>
    <xdr:to>
      <xdr:col>3</xdr:col>
      <xdr:colOff>208643</xdr:colOff>
      <xdr:row>45</xdr:row>
      <xdr:rowOff>172357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5A419B4-F030-42EC-AF08-B2FF6143CA1A}"/>
            </a:ext>
          </a:extLst>
        </xdr:cNvPr>
        <xdr:cNvSpPr/>
      </xdr:nvSpPr>
      <xdr:spPr>
        <a:xfrm>
          <a:off x="1188357" y="10586357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134257</xdr:colOff>
      <xdr:row>47</xdr:row>
      <xdr:rowOff>43543</xdr:rowOff>
    </xdr:from>
    <xdr:to>
      <xdr:col>3</xdr:col>
      <xdr:colOff>215900</xdr:colOff>
      <xdr:row>47</xdr:row>
      <xdr:rowOff>125186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48019F8-4512-4017-850B-BA2C48998708}"/>
            </a:ext>
          </a:extLst>
        </xdr:cNvPr>
        <xdr:cNvSpPr/>
      </xdr:nvSpPr>
      <xdr:spPr>
        <a:xfrm>
          <a:off x="1195614" y="10938329"/>
          <a:ext cx="81643" cy="81643"/>
        </a:xfrm>
        <a:prstGeom prst="ellipse">
          <a:avLst/>
        </a:prstGeom>
        <a:solidFill>
          <a:srgbClr val="A85400"/>
        </a:solidFill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64B-7809-479A-8CCA-61C7BB5666B9}">
  <sheetPr>
    <pageSetUpPr fitToPage="1"/>
  </sheetPr>
  <dimension ref="E6:AM18"/>
  <sheetViews>
    <sheetView showGridLines="0" tabSelected="1" zoomScale="71" zoomScaleNormal="55" workbookViewId="0"/>
  </sheetViews>
  <sheetFormatPr defaultColWidth="5.109375" defaultRowHeight="14.4" x14ac:dyDescent="0.3"/>
  <cols>
    <col min="9" max="9" width="5.109375" customWidth="1"/>
    <col min="18" max="18" width="7.109375" customWidth="1"/>
    <col min="20" max="20" width="4.33203125" customWidth="1"/>
    <col min="25" max="25" width="4" customWidth="1"/>
    <col min="26" max="26" width="1.21875" customWidth="1"/>
    <col min="29" max="29" width="5.109375" customWidth="1"/>
    <col min="35" max="35" width="5.77734375" customWidth="1"/>
    <col min="38" max="38" width="5.21875" bestFit="1" customWidth="1"/>
    <col min="46" max="46" width="13.5546875" bestFit="1" customWidth="1"/>
  </cols>
  <sheetData>
    <row r="6" spans="8:39" x14ac:dyDescent="0.3">
      <c r="H6" s="148"/>
      <c r="I6" s="149" t="s">
        <v>350</v>
      </c>
      <c r="J6" s="149"/>
      <c r="K6" s="149"/>
      <c r="L6" s="149"/>
      <c r="M6" s="149"/>
      <c r="N6" s="149"/>
      <c r="O6" s="149"/>
      <c r="P6" s="149"/>
      <c r="Q6" s="149"/>
      <c r="R6" s="149"/>
      <c r="S6" s="149" t="s">
        <v>351</v>
      </c>
      <c r="T6" s="149"/>
      <c r="U6" s="149"/>
      <c r="V6" s="149"/>
      <c r="W6" s="149"/>
      <c r="X6" s="149"/>
      <c r="Y6" s="149"/>
      <c r="Z6" s="149"/>
      <c r="AA6" s="149" t="s">
        <v>352</v>
      </c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50"/>
    </row>
    <row r="7" spans="8:39" x14ac:dyDescent="0.3">
      <c r="H7" s="148"/>
      <c r="I7" s="149" t="s">
        <v>353</v>
      </c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 t="s">
        <v>354</v>
      </c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</row>
    <row r="8" spans="8:39" x14ac:dyDescent="0.3">
      <c r="H8" s="148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 t="s">
        <v>355</v>
      </c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50"/>
    </row>
    <row r="10" spans="8:39" x14ac:dyDescent="0.3">
      <c r="J10" s="170" t="s">
        <v>345</v>
      </c>
      <c r="K10" s="171"/>
      <c r="L10" s="171"/>
      <c r="M10" s="171"/>
      <c r="N10" s="171"/>
      <c r="O10" s="171"/>
      <c r="P10" s="171"/>
      <c r="Q10" s="171"/>
      <c r="R10" s="171"/>
      <c r="S10" s="171"/>
      <c r="T10" s="172"/>
      <c r="U10" s="173" t="s">
        <v>346</v>
      </c>
      <c r="V10" s="171"/>
      <c r="W10" s="171"/>
      <c r="X10" s="172"/>
      <c r="Y10" s="173" t="s">
        <v>347</v>
      </c>
      <c r="Z10" s="171"/>
      <c r="AA10" s="171"/>
      <c r="AB10" s="171"/>
      <c r="AC10" s="172"/>
      <c r="AD10" s="173" t="s">
        <v>348</v>
      </c>
      <c r="AE10" s="171"/>
      <c r="AF10" s="171"/>
      <c r="AG10" s="171"/>
      <c r="AH10" s="172"/>
      <c r="AI10" s="173" t="s">
        <v>349</v>
      </c>
      <c r="AJ10" s="171"/>
      <c r="AK10" s="174"/>
    </row>
    <row r="11" spans="8:39" x14ac:dyDescent="0.3">
      <c r="J11" s="170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73"/>
      <c r="V11" s="171"/>
      <c r="W11" s="171"/>
      <c r="X11" s="172"/>
      <c r="Y11" s="173"/>
      <c r="Z11" s="171"/>
      <c r="AA11" s="171"/>
      <c r="AB11" s="171"/>
      <c r="AC11" s="172"/>
      <c r="AD11" s="173"/>
      <c r="AE11" s="171"/>
      <c r="AF11" s="171"/>
      <c r="AG11" s="171"/>
      <c r="AH11" s="172"/>
      <c r="AI11" s="173"/>
      <c r="AJ11" s="171"/>
      <c r="AK11" s="174"/>
    </row>
    <row r="17" spans="5:11" x14ac:dyDescent="0.3">
      <c r="K17" s="147"/>
    </row>
    <row r="18" spans="5:11" x14ac:dyDescent="0.3">
      <c r="E18" s="55"/>
      <c r="F18" s="55"/>
      <c r="G18" s="55"/>
      <c r="H18" s="55"/>
      <c r="I18" s="55"/>
      <c r="J18" s="55"/>
    </row>
  </sheetData>
  <mergeCells count="5">
    <mergeCell ref="J10:T11"/>
    <mergeCell ref="U10:X11"/>
    <mergeCell ref="Y10:AC11"/>
    <mergeCell ref="AD10:AH11"/>
    <mergeCell ref="AI10:AK11"/>
  </mergeCells>
  <phoneticPr fontId="2" type="noConversion"/>
  <pageMargins left="0.7" right="0.7" top="0.75" bottom="0.75" header="0.3" footer="0.3"/>
  <pageSetup paperSize="8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D378-A48C-4BE8-AD98-01C43A07CFF3}">
  <sheetPr>
    <pageSetUpPr fitToPage="1"/>
  </sheetPr>
  <dimension ref="B10:AD49"/>
  <sheetViews>
    <sheetView showGridLines="0" zoomScale="85" zoomScaleNormal="55" workbookViewId="0">
      <selection activeCell="H55" sqref="H55"/>
    </sheetView>
  </sheetViews>
  <sheetFormatPr defaultColWidth="5.109375" defaultRowHeight="14.4" x14ac:dyDescent="0.3"/>
  <cols>
    <col min="9" max="9" width="5.109375" customWidth="1"/>
    <col min="10" max="10" width="8.21875" bestFit="1" customWidth="1"/>
    <col min="12" max="12" width="10.109375" bestFit="1" customWidth="1"/>
    <col min="13" max="13" width="6.6640625" customWidth="1"/>
    <col min="14" max="14" width="9.109375" bestFit="1" customWidth="1"/>
    <col min="15" max="15" width="8.33203125" bestFit="1" customWidth="1"/>
    <col min="16" max="16" width="9.5546875" bestFit="1" customWidth="1"/>
    <col min="18" max="18" width="18" bestFit="1" customWidth="1"/>
    <col min="19" max="19" width="6.21875" customWidth="1"/>
    <col min="23" max="23" width="7.77734375" bestFit="1" customWidth="1"/>
    <col min="26" max="26" width="5.77734375" customWidth="1"/>
    <col min="28" max="28" width="7.21875" bestFit="1" customWidth="1"/>
    <col min="29" max="29" width="5.21875" bestFit="1" customWidth="1"/>
    <col min="37" max="37" width="13.5546875" bestFit="1" customWidth="1"/>
  </cols>
  <sheetData>
    <row r="10" spans="2:30" ht="21.6" thickBot="1" x14ac:dyDescent="0.45">
      <c r="B10" s="154" t="s">
        <v>356</v>
      </c>
      <c r="C10" s="154"/>
      <c r="D10" s="154"/>
      <c r="E10" s="155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</row>
    <row r="11" spans="2:30" ht="15" thickTop="1" x14ac:dyDescent="0.3"/>
    <row r="12" spans="2:30" ht="18" x14ac:dyDescent="0.35">
      <c r="D12" s="156"/>
      <c r="E12" s="157" t="s">
        <v>357</v>
      </c>
      <c r="F12" s="157"/>
      <c r="G12" s="157"/>
      <c r="H12" s="157"/>
      <c r="I12" s="157"/>
      <c r="J12" s="157"/>
      <c r="K12" s="157"/>
      <c r="L12" s="157" t="s">
        <v>358</v>
      </c>
      <c r="M12" s="157"/>
      <c r="N12" s="157"/>
      <c r="O12" s="157" t="s">
        <v>359</v>
      </c>
      <c r="P12" s="157"/>
      <c r="Q12" s="157"/>
      <c r="R12" s="157" t="s">
        <v>360</v>
      </c>
      <c r="S12" s="157"/>
      <c r="T12" s="157"/>
      <c r="U12" s="157" t="s">
        <v>312</v>
      </c>
      <c r="V12" s="157"/>
      <c r="W12" s="157"/>
      <c r="X12" s="157"/>
      <c r="Y12" s="157"/>
      <c r="Z12" s="157"/>
      <c r="AA12" s="157" t="s">
        <v>367</v>
      </c>
      <c r="AB12" s="157"/>
      <c r="AC12" s="157"/>
      <c r="AD12" s="157"/>
    </row>
    <row r="14" spans="2:30" ht="15.6" x14ac:dyDescent="0.3">
      <c r="D14" s="158"/>
      <c r="E14" s="164" t="s">
        <v>361</v>
      </c>
      <c r="F14" s="164"/>
      <c r="G14" s="164"/>
      <c r="H14" s="156"/>
      <c r="I14" s="156"/>
      <c r="J14" s="156"/>
      <c r="K14" s="156"/>
      <c r="L14" s="156" t="s">
        <v>362</v>
      </c>
      <c r="M14" s="156"/>
      <c r="N14" s="156"/>
      <c r="O14" s="156">
        <v>1293.8</v>
      </c>
      <c r="P14" s="156"/>
      <c r="Q14" s="156"/>
      <c r="R14" s="169">
        <v>249485.31</v>
      </c>
      <c r="S14" s="156"/>
      <c r="T14" s="156"/>
      <c r="V14" s="159"/>
      <c r="W14" s="159">
        <v>9.74</v>
      </c>
      <c r="X14" s="159"/>
      <c r="Y14" s="156"/>
      <c r="Z14" s="156"/>
      <c r="AA14" s="156"/>
      <c r="AB14" s="162">
        <v>1.34</v>
      </c>
      <c r="AC14" s="156"/>
    </row>
    <row r="15" spans="2:30" ht="15.6" x14ac:dyDescent="0.3">
      <c r="D15" s="57"/>
      <c r="E15" s="164" t="s">
        <v>363</v>
      </c>
      <c r="F15" s="164"/>
      <c r="G15" s="164"/>
      <c r="H15" s="57"/>
      <c r="L15" s="156" t="s">
        <v>362</v>
      </c>
      <c r="O15" s="156">
        <v>635.35</v>
      </c>
      <c r="R15" s="169">
        <v>15921.41</v>
      </c>
      <c r="V15" s="160"/>
      <c r="W15" s="161">
        <v>9.98</v>
      </c>
      <c r="X15" s="160"/>
      <c r="AB15" s="162">
        <v>-8.31</v>
      </c>
    </row>
    <row r="16" spans="2:30" ht="15.6" x14ac:dyDescent="0.3">
      <c r="D16" s="57"/>
      <c r="E16" s="164" t="s">
        <v>364</v>
      </c>
      <c r="F16" s="164"/>
      <c r="G16" s="164"/>
      <c r="H16" s="57"/>
      <c r="L16" s="156" t="s">
        <v>362</v>
      </c>
      <c r="O16" s="156">
        <v>52.83</v>
      </c>
      <c r="R16" s="169">
        <v>12702.57</v>
      </c>
      <c r="V16" s="160"/>
      <c r="W16" s="161">
        <v>31.45</v>
      </c>
      <c r="X16" s="160"/>
      <c r="AB16" s="162">
        <v>-24.89</v>
      </c>
    </row>
    <row r="17" spans="2:30" ht="15.6" x14ac:dyDescent="0.3">
      <c r="D17" s="57"/>
      <c r="E17" s="164" t="s">
        <v>365</v>
      </c>
      <c r="F17" s="164"/>
      <c r="G17" s="164"/>
      <c r="H17" s="57"/>
      <c r="L17" s="156" t="s">
        <v>362</v>
      </c>
      <c r="O17" s="156">
        <v>311.55</v>
      </c>
      <c r="R17" s="169">
        <v>3882.61</v>
      </c>
      <c r="V17" s="160"/>
      <c r="W17" s="161">
        <v>-6.17</v>
      </c>
      <c r="X17" s="160"/>
      <c r="AB17" s="162">
        <v>-58.17</v>
      </c>
    </row>
    <row r="18" spans="2:30" ht="15.6" x14ac:dyDescent="0.3">
      <c r="D18" s="57"/>
      <c r="E18" s="164" t="s">
        <v>366</v>
      </c>
      <c r="F18" s="164"/>
      <c r="G18" s="164"/>
      <c r="H18" s="57"/>
      <c r="L18" s="156" t="s">
        <v>362</v>
      </c>
      <c r="O18" s="156">
        <v>216.65</v>
      </c>
      <c r="R18" s="169">
        <v>6650.95</v>
      </c>
      <c r="V18" s="160"/>
      <c r="W18" s="161">
        <v>8.93</v>
      </c>
      <c r="X18" s="160"/>
      <c r="AB18" s="162">
        <v>-4.0599999999999996</v>
      </c>
    </row>
    <row r="19" spans="2:30" ht="14.4" customHeight="1" x14ac:dyDescent="0.3">
      <c r="D19" s="57"/>
      <c r="E19" s="166"/>
      <c r="F19" s="166"/>
      <c r="G19" s="166"/>
      <c r="H19" s="57"/>
      <c r="AB19" s="68"/>
    </row>
    <row r="21" spans="2:30" ht="21.6" thickBot="1" x14ac:dyDescent="0.45">
      <c r="B21" s="154" t="s">
        <v>368</v>
      </c>
      <c r="C21" s="154"/>
      <c r="D21" s="154"/>
      <c r="E21" s="155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</row>
    <row r="22" spans="2:30" ht="15" thickTop="1" x14ac:dyDescent="0.3"/>
    <row r="23" spans="2:30" ht="18" x14ac:dyDescent="0.35">
      <c r="E23" s="157" t="s">
        <v>369</v>
      </c>
      <c r="F23" s="157"/>
      <c r="G23" s="157"/>
      <c r="H23" s="157"/>
      <c r="I23" s="157"/>
      <c r="J23" s="157"/>
      <c r="K23" s="157"/>
      <c r="L23" s="157"/>
      <c r="M23" s="157">
        <v>2025</v>
      </c>
      <c r="N23" s="157"/>
      <c r="O23" s="157"/>
      <c r="P23" s="157"/>
      <c r="R23" s="157"/>
      <c r="S23" s="157" t="s">
        <v>380</v>
      </c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</row>
    <row r="24" spans="2:30" x14ac:dyDescent="0.3">
      <c r="E24" s="105" t="s">
        <v>379</v>
      </c>
      <c r="J24" s="105" t="s">
        <v>375</v>
      </c>
      <c r="K24" s="105"/>
      <c r="L24" s="105" t="s">
        <v>378</v>
      </c>
      <c r="M24" s="105"/>
      <c r="N24" s="105" t="s">
        <v>376</v>
      </c>
      <c r="O24" s="105"/>
      <c r="P24" s="105" t="s">
        <v>377</v>
      </c>
      <c r="Q24" s="105"/>
    </row>
    <row r="25" spans="2:30" x14ac:dyDescent="0.3">
      <c r="E25" s="165"/>
      <c r="F25" s="165"/>
      <c r="G25" s="165"/>
      <c r="H25" s="165"/>
      <c r="J25" s="105"/>
      <c r="K25" s="105"/>
      <c r="L25" s="105"/>
      <c r="M25" s="105"/>
      <c r="N25" s="105"/>
      <c r="O25" s="105"/>
      <c r="P25" s="105"/>
      <c r="Q25" s="105"/>
      <c r="R25" s="165"/>
    </row>
    <row r="26" spans="2:30" ht="15.6" x14ac:dyDescent="0.3">
      <c r="E26" s="164" t="s">
        <v>370</v>
      </c>
      <c r="F26" s="164"/>
      <c r="G26" s="164"/>
      <c r="H26" s="165"/>
      <c r="I26" s="57"/>
      <c r="J26" s="163">
        <v>0.50549999999999995</v>
      </c>
      <c r="K26" s="156"/>
      <c r="L26" s="163">
        <v>0.50549999999999995</v>
      </c>
      <c r="M26" s="156"/>
      <c r="N26" s="163">
        <v>0.50549999999999995</v>
      </c>
      <c r="O26" s="156"/>
      <c r="P26" s="163">
        <v>0.50549999999999995</v>
      </c>
      <c r="Q26" s="156"/>
      <c r="R26" s="164" t="s">
        <v>370</v>
      </c>
      <c r="S26" s="156" t="s">
        <v>381</v>
      </c>
      <c r="T26" s="156"/>
    </row>
    <row r="27" spans="2:30" ht="15.6" x14ac:dyDescent="0.3">
      <c r="E27" s="164" t="s">
        <v>371</v>
      </c>
      <c r="F27" s="164"/>
      <c r="G27" s="164"/>
      <c r="H27" s="165"/>
      <c r="I27" s="57"/>
      <c r="J27" s="163">
        <v>0.15720000000000001</v>
      </c>
      <c r="K27" s="156"/>
      <c r="L27" s="163">
        <v>0.15579999999999999</v>
      </c>
      <c r="M27" s="156"/>
      <c r="N27" s="163">
        <v>0.1502</v>
      </c>
      <c r="O27" s="156"/>
      <c r="P27" s="163">
        <v>0.14879999999999999</v>
      </c>
      <c r="Q27" s="156"/>
      <c r="R27" s="164" t="s">
        <v>371</v>
      </c>
      <c r="S27" s="156" t="s">
        <v>382</v>
      </c>
      <c r="T27" s="156"/>
    </row>
    <row r="28" spans="2:30" ht="15.6" x14ac:dyDescent="0.3">
      <c r="E28" s="164" t="s">
        <v>372</v>
      </c>
      <c r="F28" s="164"/>
      <c r="G28" s="164"/>
      <c r="H28" s="165"/>
      <c r="I28" s="57"/>
      <c r="J28" s="163">
        <v>0.18260000000000001</v>
      </c>
      <c r="K28" s="156"/>
      <c r="L28" s="163">
        <v>0.1865</v>
      </c>
      <c r="M28" s="156"/>
      <c r="N28" s="163">
        <v>0.19389999999999999</v>
      </c>
      <c r="O28" s="156"/>
      <c r="P28" s="163">
        <v>0.19550000000000001</v>
      </c>
      <c r="Q28" s="156"/>
      <c r="R28" s="164" t="s">
        <v>372</v>
      </c>
      <c r="S28" s="156" t="s">
        <v>383</v>
      </c>
      <c r="T28" s="156"/>
    </row>
    <row r="29" spans="2:30" ht="15.6" x14ac:dyDescent="0.3">
      <c r="E29" s="164" t="s">
        <v>373</v>
      </c>
      <c r="F29" s="164"/>
      <c r="G29" s="164"/>
      <c r="H29" s="165"/>
      <c r="I29" s="57"/>
      <c r="J29" s="163">
        <v>0</v>
      </c>
      <c r="K29" s="156"/>
      <c r="L29" s="163">
        <v>1E-4</v>
      </c>
      <c r="M29" s="156"/>
      <c r="N29" s="163">
        <v>1E-4</v>
      </c>
      <c r="O29" s="156"/>
      <c r="P29" s="163">
        <v>2.9999999999999997E-4</v>
      </c>
      <c r="Q29" s="156"/>
      <c r="R29" s="156"/>
      <c r="S29" s="156"/>
      <c r="T29" s="156"/>
    </row>
    <row r="30" spans="2:30" ht="15.6" x14ac:dyDescent="0.3">
      <c r="E30" s="164" t="s">
        <v>374</v>
      </c>
      <c r="F30" s="164"/>
      <c r="G30" s="164"/>
      <c r="H30" s="165"/>
      <c r="I30" s="57"/>
      <c r="J30" s="163">
        <v>0.15479999999999999</v>
      </c>
      <c r="K30" s="156"/>
      <c r="L30" s="163">
        <v>0.152</v>
      </c>
      <c r="M30" s="156"/>
      <c r="N30" s="163">
        <v>0.15029999999999999</v>
      </c>
      <c r="O30" s="156"/>
      <c r="P30" s="163">
        <v>0.1497</v>
      </c>
      <c r="Q30" s="156"/>
      <c r="R30" s="156"/>
      <c r="S30" s="156"/>
      <c r="T30" s="156"/>
    </row>
    <row r="31" spans="2:30" x14ac:dyDescent="0.3">
      <c r="E31" s="165"/>
      <c r="F31" s="165"/>
      <c r="G31" s="165"/>
      <c r="H31" s="165"/>
      <c r="I31" s="57"/>
      <c r="J31" s="57"/>
      <c r="K31" s="57"/>
      <c r="L31" s="57"/>
      <c r="M31" s="57"/>
      <c r="N31" s="57"/>
      <c r="O31" s="57"/>
      <c r="P31" s="57"/>
      <c r="Q31" s="57"/>
    </row>
    <row r="32" spans="2:30" x14ac:dyDescent="0.3">
      <c r="I32" s="57"/>
      <c r="J32" s="57"/>
      <c r="K32" s="57"/>
      <c r="L32" s="57"/>
      <c r="M32" s="57"/>
      <c r="N32" s="57"/>
      <c r="O32" s="57"/>
      <c r="P32" s="57"/>
      <c r="Q32" s="57"/>
    </row>
    <row r="34" spans="2:30" ht="21.6" thickBot="1" x14ac:dyDescent="0.45">
      <c r="B34" s="154" t="s">
        <v>384</v>
      </c>
      <c r="C34" s="154"/>
      <c r="D34" s="154"/>
      <c r="E34" s="155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</row>
    <row r="35" spans="2:30" ht="15" thickTop="1" x14ac:dyDescent="0.3"/>
    <row r="36" spans="2:30" ht="15.6" x14ac:dyDescent="0.3">
      <c r="E36" s="167" t="s">
        <v>385</v>
      </c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8"/>
      <c r="X36" s="168"/>
    </row>
    <row r="37" spans="2:30" ht="15.6" x14ac:dyDescent="0.3"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8"/>
      <c r="X37" s="168"/>
    </row>
    <row r="38" spans="2:30" ht="15.6" x14ac:dyDescent="0.3">
      <c r="E38" s="167" t="s">
        <v>386</v>
      </c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8"/>
      <c r="X38" s="168"/>
    </row>
    <row r="39" spans="2:30" ht="15.6" x14ac:dyDescent="0.3"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8"/>
      <c r="X39" s="168"/>
    </row>
    <row r="40" spans="2:30" ht="15.6" x14ac:dyDescent="0.3">
      <c r="E40" s="167" t="s">
        <v>387</v>
      </c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8"/>
      <c r="X40" s="168"/>
    </row>
    <row r="41" spans="2:30" ht="15.6" x14ac:dyDescent="0.3"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8"/>
      <c r="X41" s="168"/>
    </row>
    <row r="42" spans="2:30" ht="15.6" x14ac:dyDescent="0.3">
      <c r="E42" s="167" t="s">
        <v>388</v>
      </c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8"/>
      <c r="X42" s="168"/>
    </row>
    <row r="43" spans="2:30" ht="15.6" x14ac:dyDescent="0.3"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8"/>
      <c r="X43" s="168"/>
    </row>
    <row r="44" spans="2:30" ht="15.6" x14ac:dyDescent="0.3">
      <c r="E44" s="167" t="s">
        <v>389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8"/>
      <c r="X44" s="168"/>
    </row>
    <row r="45" spans="2:30" ht="15.6" x14ac:dyDescent="0.3"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8"/>
      <c r="X45" s="168"/>
    </row>
    <row r="46" spans="2:30" ht="15.6" x14ac:dyDescent="0.3">
      <c r="E46" s="167" t="s">
        <v>390</v>
      </c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8"/>
      <c r="X46" s="168"/>
    </row>
    <row r="47" spans="2:30" ht="15.6" x14ac:dyDescent="0.3"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8"/>
      <c r="X47" s="168"/>
    </row>
    <row r="48" spans="2:30" ht="15.6" x14ac:dyDescent="0.3">
      <c r="E48" s="167" t="s">
        <v>391</v>
      </c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7"/>
      <c r="S48" s="167"/>
      <c r="T48" s="167"/>
      <c r="U48" s="167"/>
      <c r="V48" s="167"/>
      <c r="W48" s="168"/>
      <c r="X48" s="168"/>
    </row>
    <row r="49" spans="5:22" ht="15.6" x14ac:dyDescent="0.3"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</row>
  </sheetData>
  <pageMargins left="0.7" right="0.7" top="0.75" bottom="0.75" header="0.3" footer="0.3"/>
  <pageSetup paperSize="8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A4A5-D602-4D13-A8F4-8877551FDE6D}">
  <sheetPr>
    <pageSetUpPr fitToPage="1"/>
  </sheetPr>
  <dimension ref="A1:S71"/>
  <sheetViews>
    <sheetView showGridLines="0" zoomScale="88" zoomScaleNormal="88" workbookViewId="0">
      <selection activeCell="J42" sqref="J42"/>
    </sheetView>
  </sheetViews>
  <sheetFormatPr defaultRowHeight="14.4" x14ac:dyDescent="0.3"/>
  <cols>
    <col min="1" max="1" width="4.5546875" style="16" customWidth="1"/>
    <col min="2" max="2" width="47" style="2" bestFit="1" customWidth="1"/>
    <col min="3" max="3" width="11.5546875" style="2" customWidth="1"/>
    <col min="4" max="4" width="9.88671875" style="2" customWidth="1"/>
    <col min="5" max="5" width="11.33203125" style="2" customWidth="1"/>
    <col min="6" max="9" width="10.6640625" style="2" bestFit="1" customWidth="1"/>
    <col min="10" max="10" width="11.21875" style="2" customWidth="1"/>
    <col min="11" max="11" width="10.77734375" style="2" customWidth="1"/>
    <col min="12" max="12" width="11.21875" style="2" customWidth="1"/>
    <col min="13" max="15" width="10.44140625" style="2" bestFit="1" customWidth="1"/>
    <col min="16" max="16" width="11.33203125" style="2" bestFit="1" customWidth="1"/>
    <col min="17" max="18" width="8.88671875" style="2"/>
    <col min="19" max="19" width="11.44140625" style="2" bestFit="1" customWidth="1"/>
    <col min="20" max="16384" width="8.88671875" style="2"/>
  </cols>
  <sheetData>
    <row r="1" spans="1:18" ht="30" x14ac:dyDescent="0.7">
      <c r="B1" s="175" t="s">
        <v>60</v>
      </c>
      <c r="C1" s="175"/>
    </row>
    <row r="2" spans="1:18" ht="21" x14ac:dyDescent="0.5">
      <c r="B2" s="176" t="s">
        <v>61</v>
      </c>
      <c r="C2" s="176"/>
    </row>
    <row r="4" spans="1:18" ht="15.6" x14ac:dyDescent="0.3">
      <c r="B4" s="18" t="s">
        <v>1</v>
      </c>
      <c r="C4" s="1">
        <v>2019</v>
      </c>
      <c r="D4" s="1">
        <v>2020</v>
      </c>
      <c r="E4" s="1">
        <v>2021</v>
      </c>
      <c r="F4" s="1">
        <v>2022</v>
      </c>
      <c r="G4" s="1">
        <v>2023</v>
      </c>
      <c r="H4" s="1">
        <v>2024</v>
      </c>
      <c r="I4" s="1">
        <v>2025</v>
      </c>
      <c r="J4" s="1">
        <v>2026</v>
      </c>
      <c r="K4" s="1">
        <v>2027</v>
      </c>
      <c r="L4" s="1">
        <v>2028</v>
      </c>
      <c r="M4" s="1">
        <v>2029</v>
      </c>
      <c r="N4" s="1">
        <v>2030</v>
      </c>
      <c r="O4" s="1">
        <v>2031</v>
      </c>
      <c r="P4" s="1">
        <v>2032</v>
      </c>
    </row>
    <row r="5" spans="1:18" ht="15.6" x14ac:dyDescent="0.3">
      <c r="B5" s="18"/>
      <c r="C5" s="19" t="s">
        <v>121</v>
      </c>
      <c r="D5" s="19" t="s">
        <v>121</v>
      </c>
      <c r="E5" s="19" t="s">
        <v>121</v>
      </c>
      <c r="F5" s="19" t="s">
        <v>121</v>
      </c>
      <c r="G5" s="19" t="s">
        <v>121</v>
      </c>
      <c r="H5" s="19" t="s">
        <v>121</v>
      </c>
      <c r="I5" s="19" t="s">
        <v>121</v>
      </c>
      <c r="J5" s="19" t="s">
        <v>122</v>
      </c>
      <c r="K5" s="19" t="s">
        <v>122</v>
      </c>
      <c r="L5" s="19" t="s">
        <v>122</v>
      </c>
      <c r="M5" s="19" t="s">
        <v>122</v>
      </c>
      <c r="N5" s="19" t="s">
        <v>122</v>
      </c>
      <c r="O5" s="19" t="s">
        <v>122</v>
      </c>
      <c r="P5" s="19" t="s">
        <v>122</v>
      </c>
    </row>
    <row r="6" spans="1:18" x14ac:dyDescent="0.3">
      <c r="A6" s="16" t="s">
        <v>8</v>
      </c>
      <c r="B6" s="81" t="s">
        <v>62</v>
      </c>
      <c r="J6" s="21"/>
      <c r="K6" s="21"/>
      <c r="L6" s="21"/>
      <c r="M6" s="21"/>
      <c r="N6" s="21"/>
      <c r="O6" s="21"/>
      <c r="P6" s="21"/>
    </row>
    <row r="7" spans="1:18" x14ac:dyDescent="0.3">
      <c r="A7" s="17">
        <v>1</v>
      </c>
      <c r="B7" s="20" t="s">
        <v>64</v>
      </c>
      <c r="J7" s="107"/>
      <c r="K7" s="107"/>
      <c r="L7" s="107"/>
      <c r="M7" s="107"/>
      <c r="N7" s="107"/>
      <c r="O7" s="107"/>
      <c r="P7" s="107"/>
    </row>
    <row r="8" spans="1:18" x14ac:dyDescent="0.3">
      <c r="B8" s="2" t="s">
        <v>65</v>
      </c>
      <c r="C8" s="2">
        <v>1535.58</v>
      </c>
      <c r="D8" s="2">
        <v>1716.37</v>
      </c>
      <c r="E8" s="2">
        <v>1634.3</v>
      </c>
      <c r="F8" s="2">
        <v>1584.05</v>
      </c>
      <c r="G8" s="2">
        <v>2472.19</v>
      </c>
      <c r="H8" s="2">
        <v>2602.94</v>
      </c>
      <c r="I8" s="2">
        <v>2734.61</v>
      </c>
      <c r="J8" s="83">
        <f>'Asset Schedule'!J40</f>
        <v>2493.7753963443347</v>
      </c>
      <c r="K8" s="83">
        <f>'Asset Schedule'!K40</f>
        <v>2426.4028736796949</v>
      </c>
      <c r="L8" s="83">
        <f>'Asset Schedule'!L40</f>
        <v>2404.0222314707867</v>
      </c>
      <c r="M8" s="83">
        <f>'Asset Schedule'!M40</f>
        <v>2435.9468966353515</v>
      </c>
      <c r="N8" s="83">
        <f>'Asset Schedule'!N40</f>
        <v>2529.5292745727438</v>
      </c>
      <c r="O8" s="83">
        <f>'Asset Schedule'!O40</f>
        <v>2686.1087888824854</v>
      </c>
      <c r="P8" s="83">
        <f>'Asset Schedule'!P40</f>
        <v>2918.4263416191479</v>
      </c>
    </row>
    <row r="9" spans="1:18" x14ac:dyDescent="0.3">
      <c r="B9" s="2" t="s">
        <v>66</v>
      </c>
      <c r="C9" s="2">
        <v>101.24</v>
      </c>
      <c r="D9" s="2">
        <v>39.549999999999997</v>
      </c>
      <c r="E9" s="2">
        <v>116.52</v>
      </c>
      <c r="F9" s="2">
        <v>535.67999999999995</v>
      </c>
      <c r="G9" s="2">
        <v>105</v>
      </c>
      <c r="H9" s="2">
        <v>187.54</v>
      </c>
      <c r="I9" s="2">
        <v>89.2</v>
      </c>
      <c r="J9" s="83">
        <f>'Asset Schedule'!J41</f>
        <v>209.85024183343492</v>
      </c>
      <c r="K9" s="83">
        <f>'Asset Schedule'!K41</f>
        <v>204.18086992655489</v>
      </c>
      <c r="L9" s="83">
        <f>'Asset Schedule'!L41</f>
        <v>202.29754748027048</v>
      </c>
      <c r="M9" s="83">
        <f>'Asset Schedule'!M41</f>
        <v>204.98399579275932</v>
      </c>
      <c r="N9" s="83">
        <f>'Asset Schedule'!N41</f>
        <v>212.85891695458398</v>
      </c>
      <c r="O9" s="83">
        <f>'Asset Schedule'!O41</f>
        <v>226.03502294722009</v>
      </c>
      <c r="P9" s="83">
        <f>'Asset Schedule'!P41</f>
        <v>245.58445578524012</v>
      </c>
    </row>
    <row r="10" spans="1:18" x14ac:dyDescent="0.3">
      <c r="B10" s="2" t="s">
        <v>67</v>
      </c>
      <c r="C10" s="2">
        <v>14.73</v>
      </c>
      <c r="D10" s="2">
        <v>14.47</v>
      </c>
      <c r="E10" s="2">
        <v>14.21</v>
      </c>
      <c r="F10" s="2">
        <v>13.95</v>
      </c>
      <c r="G10" s="2">
        <v>40.630000000000003</v>
      </c>
      <c r="H10" s="2">
        <v>27.48</v>
      </c>
      <c r="I10" s="2">
        <v>28.9</v>
      </c>
      <c r="J10" s="83">
        <f>'Asset Schedule'!J42</f>
        <v>26.162712310167347</v>
      </c>
      <c r="K10" s="83">
        <f>'Asset Schedule'!K42</f>
        <v>25.455893271584685</v>
      </c>
      <c r="L10" s="83">
        <f>'Asset Schedule'!L42</f>
        <v>25.221093335597342</v>
      </c>
      <c r="M10" s="83">
        <f>'Asset Schedule'!M42</f>
        <v>25.556021585961556</v>
      </c>
      <c r="N10" s="83">
        <f>'Asset Schedule'!N42</f>
        <v>26.537813624998613</v>
      </c>
      <c r="O10" s="83">
        <f>'Asset Schedule'!O42</f>
        <v>28.180521622100795</v>
      </c>
      <c r="P10" s="83">
        <f>'Asset Schedule'!P42</f>
        <v>30.61781300999457</v>
      </c>
    </row>
    <row r="11" spans="1:18" x14ac:dyDescent="0.3">
      <c r="B11" s="2" t="s">
        <v>68</v>
      </c>
      <c r="C11" s="2">
        <v>130.37</v>
      </c>
      <c r="D11" s="2">
        <v>138.97</v>
      </c>
      <c r="E11" s="2">
        <v>135.9</v>
      </c>
      <c r="F11" s="2">
        <v>139.61000000000001</v>
      </c>
      <c r="G11" s="2">
        <v>128.16</v>
      </c>
      <c r="H11" s="2">
        <v>129.82</v>
      </c>
      <c r="I11" s="2">
        <v>132.78</v>
      </c>
      <c r="J11" s="76">
        <f>I11</f>
        <v>132.78</v>
      </c>
      <c r="K11" s="76">
        <f t="shared" ref="K11:P11" si="0">J11</f>
        <v>132.78</v>
      </c>
      <c r="L11" s="76">
        <f t="shared" si="0"/>
        <v>132.78</v>
      </c>
      <c r="M11" s="76">
        <f t="shared" si="0"/>
        <v>132.78</v>
      </c>
      <c r="N11" s="76">
        <f t="shared" si="0"/>
        <v>132.78</v>
      </c>
      <c r="O11" s="76">
        <f t="shared" si="0"/>
        <v>132.78</v>
      </c>
      <c r="P11" s="76">
        <f t="shared" si="0"/>
        <v>132.78</v>
      </c>
    </row>
    <row r="12" spans="1:18" x14ac:dyDescent="0.3">
      <c r="B12" s="2" t="s">
        <v>69</v>
      </c>
      <c r="C12" s="2">
        <v>7.62</v>
      </c>
      <c r="D12" s="2">
        <v>8.3699999999999992</v>
      </c>
      <c r="E12" s="2">
        <v>8.5399999999999991</v>
      </c>
      <c r="F12" s="2">
        <v>15.6</v>
      </c>
      <c r="G12" s="2">
        <v>14.24</v>
      </c>
      <c r="H12" s="2">
        <v>10.9</v>
      </c>
      <c r="I12" s="2">
        <v>7.51</v>
      </c>
      <c r="J12" s="83">
        <f>'Asset Schedule'!J43</f>
        <v>13.0325526510768</v>
      </c>
      <c r="K12" s="83">
        <f>'Asset Schedule'!K43</f>
        <v>12.680461620685726</v>
      </c>
      <c r="L12" s="83">
        <f>'Asset Schedule'!L43</f>
        <v>12.563499644727472</v>
      </c>
      <c r="M12" s="83">
        <f>'Asset Schedule'!M43</f>
        <v>12.730339000122147</v>
      </c>
      <c r="N12" s="83">
        <f>'Asset Schedule'!N43</f>
        <v>13.219403600514745</v>
      </c>
      <c r="O12" s="83">
        <f>'Asset Schedule'!O43</f>
        <v>14.037693317909959</v>
      </c>
      <c r="P12" s="83">
        <f>'Asset Schedule'!P43</f>
        <v>15.25179252758546</v>
      </c>
      <c r="Q12" s="82"/>
      <c r="R12" s="82"/>
    </row>
    <row r="13" spans="1:18" x14ac:dyDescent="0.3">
      <c r="B13" s="2" t="s">
        <v>70</v>
      </c>
      <c r="C13" s="2">
        <v>1.04</v>
      </c>
      <c r="D13" s="2">
        <v>1.48</v>
      </c>
      <c r="E13" s="2">
        <v>2.29</v>
      </c>
      <c r="F13" s="2">
        <v>2.09</v>
      </c>
      <c r="G13" s="2">
        <v>495.16</v>
      </c>
      <c r="H13" s="2">
        <v>491.96</v>
      </c>
      <c r="I13" s="2">
        <v>483.62</v>
      </c>
      <c r="J13" s="76">
        <f>I13</f>
        <v>483.62</v>
      </c>
      <c r="K13" s="76">
        <f t="shared" ref="K13:P13" si="1">J13</f>
        <v>483.62</v>
      </c>
      <c r="L13" s="76">
        <f t="shared" si="1"/>
        <v>483.62</v>
      </c>
      <c r="M13" s="76">
        <f t="shared" si="1"/>
        <v>483.62</v>
      </c>
      <c r="N13" s="76">
        <f t="shared" si="1"/>
        <v>483.62</v>
      </c>
      <c r="O13" s="76">
        <f t="shared" si="1"/>
        <v>483.62</v>
      </c>
      <c r="P13" s="76">
        <f t="shared" si="1"/>
        <v>483.62</v>
      </c>
    </row>
    <row r="14" spans="1:18" x14ac:dyDescent="0.3">
      <c r="B14" s="2" t="s">
        <v>71</v>
      </c>
    </row>
    <row r="15" spans="1:18" x14ac:dyDescent="0.3">
      <c r="B15" s="2" t="s">
        <v>101</v>
      </c>
      <c r="C15" s="2">
        <v>725.36</v>
      </c>
      <c r="D15" s="2">
        <v>1882.98</v>
      </c>
      <c r="E15" s="2">
        <v>1385.15</v>
      </c>
      <c r="F15" s="2">
        <v>926.55</v>
      </c>
      <c r="G15" s="2">
        <v>1028.0899999999999</v>
      </c>
      <c r="H15" s="2">
        <v>578.25</v>
      </c>
      <c r="I15" s="2">
        <v>1270.17</v>
      </c>
      <c r="J15" s="76">
        <f t="shared" ref="J15:J20" si="2">I15</f>
        <v>1270.17</v>
      </c>
      <c r="K15" s="76">
        <f t="shared" ref="K15:P15" si="3">J15</f>
        <v>1270.17</v>
      </c>
      <c r="L15" s="76">
        <f t="shared" si="3"/>
        <v>1270.17</v>
      </c>
      <c r="M15" s="76">
        <f t="shared" si="3"/>
        <v>1270.17</v>
      </c>
      <c r="N15" s="76">
        <f t="shared" si="3"/>
        <v>1270.17</v>
      </c>
      <c r="O15" s="76">
        <f t="shared" si="3"/>
        <v>1270.17</v>
      </c>
      <c r="P15" s="76">
        <f t="shared" si="3"/>
        <v>1270.17</v>
      </c>
    </row>
    <row r="16" spans="1:18" x14ac:dyDescent="0.3">
      <c r="B16" s="2" t="s">
        <v>102</v>
      </c>
      <c r="C16" s="2">
        <v>19.02</v>
      </c>
      <c r="D16" s="2">
        <v>202.95</v>
      </c>
      <c r="E16" s="2">
        <v>74.58</v>
      </c>
      <c r="F16" s="2">
        <v>100</v>
      </c>
      <c r="G16" s="2">
        <v>150</v>
      </c>
      <c r="H16" s="2">
        <v>0</v>
      </c>
      <c r="I16" s="2">
        <v>25</v>
      </c>
      <c r="J16" s="76">
        <f t="shared" si="2"/>
        <v>25</v>
      </c>
      <c r="K16" s="76">
        <f>J16</f>
        <v>25</v>
      </c>
      <c r="L16" s="76">
        <f>K16</f>
        <v>25</v>
      </c>
      <c r="M16" s="76">
        <f t="shared" ref="M16:P16" si="4">L16</f>
        <v>25</v>
      </c>
      <c r="N16" s="76">
        <f t="shared" si="4"/>
        <v>25</v>
      </c>
      <c r="O16" s="76">
        <f t="shared" si="4"/>
        <v>25</v>
      </c>
      <c r="P16" s="76">
        <f t="shared" si="4"/>
        <v>25</v>
      </c>
    </row>
    <row r="17" spans="1:17" x14ac:dyDescent="0.3">
      <c r="B17" s="2" t="s">
        <v>103</v>
      </c>
      <c r="C17" s="2">
        <v>28.67</v>
      </c>
      <c r="D17" s="2">
        <v>31.33</v>
      </c>
      <c r="E17" s="2">
        <v>30.13</v>
      </c>
      <c r="F17" s="2">
        <v>31.8</v>
      </c>
      <c r="G17" s="2">
        <v>23.57</v>
      </c>
      <c r="H17" s="2">
        <v>25.5</v>
      </c>
      <c r="I17" s="2">
        <v>28.19</v>
      </c>
      <c r="J17" s="76">
        <f t="shared" si="2"/>
        <v>28.19</v>
      </c>
      <c r="K17" s="76">
        <f t="shared" ref="K17:P20" si="5">J17</f>
        <v>28.19</v>
      </c>
      <c r="L17" s="76">
        <f t="shared" si="5"/>
        <v>28.19</v>
      </c>
      <c r="M17" s="76">
        <f t="shared" si="5"/>
        <v>28.19</v>
      </c>
      <c r="N17" s="76">
        <f t="shared" si="5"/>
        <v>28.19</v>
      </c>
      <c r="O17" s="76">
        <f t="shared" si="5"/>
        <v>28.19</v>
      </c>
      <c r="P17" s="76">
        <f t="shared" si="5"/>
        <v>28.19</v>
      </c>
    </row>
    <row r="18" spans="1:17" x14ac:dyDescent="0.3">
      <c r="B18" s="2" t="s">
        <v>72</v>
      </c>
      <c r="C18" s="2">
        <v>13.75</v>
      </c>
      <c r="D18" s="2">
        <v>19.559999999999999</v>
      </c>
      <c r="E18" s="2">
        <v>9.66</v>
      </c>
      <c r="F18" s="2">
        <v>51.67</v>
      </c>
      <c r="G18" s="2">
        <v>57.25</v>
      </c>
      <c r="H18" s="2">
        <v>43.88</v>
      </c>
      <c r="I18" s="2">
        <v>36.590000000000003</v>
      </c>
      <c r="J18" s="76">
        <f t="shared" si="2"/>
        <v>36.590000000000003</v>
      </c>
      <c r="K18" s="76">
        <f t="shared" si="5"/>
        <v>36.590000000000003</v>
      </c>
      <c r="L18" s="76">
        <f t="shared" si="5"/>
        <v>36.590000000000003</v>
      </c>
      <c r="M18" s="76">
        <f t="shared" si="5"/>
        <v>36.590000000000003</v>
      </c>
      <c r="N18" s="76">
        <f t="shared" si="5"/>
        <v>36.590000000000003</v>
      </c>
      <c r="O18" s="76">
        <f t="shared" si="5"/>
        <v>36.590000000000003</v>
      </c>
      <c r="P18" s="76">
        <f t="shared" si="5"/>
        <v>36.590000000000003</v>
      </c>
    </row>
    <row r="19" spans="1:17" x14ac:dyDescent="0.3">
      <c r="B19" s="2" t="s">
        <v>73</v>
      </c>
      <c r="C19" s="2">
        <v>37.020000000000003</v>
      </c>
      <c r="D19" s="2">
        <v>68.77</v>
      </c>
      <c r="E19" s="2">
        <v>71.84</v>
      </c>
      <c r="F19" s="2">
        <v>44.93</v>
      </c>
      <c r="G19" s="2">
        <v>43.64</v>
      </c>
      <c r="H19" s="2">
        <v>67.95</v>
      </c>
      <c r="I19" s="2">
        <v>46.26</v>
      </c>
      <c r="J19" s="76">
        <f t="shared" si="2"/>
        <v>46.26</v>
      </c>
      <c r="K19" s="76">
        <f t="shared" si="5"/>
        <v>46.26</v>
      </c>
      <c r="L19" s="76">
        <f t="shared" si="5"/>
        <v>46.26</v>
      </c>
      <c r="M19" s="76">
        <f t="shared" si="5"/>
        <v>46.26</v>
      </c>
      <c r="N19" s="76">
        <f t="shared" si="5"/>
        <v>46.26</v>
      </c>
      <c r="O19" s="76">
        <f t="shared" si="5"/>
        <v>46.26</v>
      </c>
      <c r="P19" s="76">
        <f t="shared" si="5"/>
        <v>46.26</v>
      </c>
    </row>
    <row r="20" spans="1:17" x14ac:dyDescent="0.3">
      <c r="B20" s="2" t="s">
        <v>74</v>
      </c>
      <c r="C20" s="2">
        <v>101.08</v>
      </c>
      <c r="D20" s="2">
        <v>42.46</v>
      </c>
      <c r="E20" s="2">
        <v>105.98</v>
      </c>
      <c r="F20" s="2">
        <v>99.18</v>
      </c>
      <c r="G20" s="2">
        <v>48.56</v>
      </c>
      <c r="H20" s="2">
        <v>58.68</v>
      </c>
      <c r="I20" s="2">
        <v>42.04</v>
      </c>
      <c r="J20" s="76">
        <f t="shared" si="2"/>
        <v>42.04</v>
      </c>
      <c r="K20" s="76">
        <f t="shared" si="5"/>
        <v>42.04</v>
      </c>
      <c r="L20" s="76">
        <f t="shared" si="5"/>
        <v>42.04</v>
      </c>
      <c r="M20" s="76">
        <f t="shared" si="5"/>
        <v>42.04</v>
      </c>
      <c r="N20" s="76">
        <f t="shared" si="5"/>
        <v>42.04</v>
      </c>
      <c r="O20" s="76">
        <f t="shared" si="5"/>
        <v>42.04</v>
      </c>
      <c r="P20" s="76">
        <f t="shared" si="5"/>
        <v>42.04</v>
      </c>
    </row>
    <row r="21" spans="1:17" s="21" customFormat="1" x14ac:dyDescent="0.3">
      <c r="A21" s="16"/>
      <c r="B21" s="77" t="s">
        <v>75</v>
      </c>
      <c r="C21" s="78">
        <f>SUM(C8:C20)</f>
        <v>2715.48</v>
      </c>
      <c r="D21" s="78">
        <f t="shared" ref="D21:P21" si="6">SUM(D8:D20)</f>
        <v>4167.2599999999993</v>
      </c>
      <c r="E21" s="78">
        <f t="shared" si="6"/>
        <v>3589.1</v>
      </c>
      <c r="F21" s="78">
        <f t="shared" si="6"/>
        <v>3545.1099999999997</v>
      </c>
      <c r="G21" s="78">
        <f t="shared" si="6"/>
        <v>4606.49</v>
      </c>
      <c r="H21" s="78">
        <f t="shared" si="6"/>
        <v>4224.9000000000005</v>
      </c>
      <c r="I21" s="78">
        <f t="shared" si="6"/>
        <v>4924.8700000000008</v>
      </c>
      <c r="J21" s="78">
        <f>SUM(J8:J20)</f>
        <v>4807.4709031390139</v>
      </c>
      <c r="K21" s="78">
        <f t="shared" si="6"/>
        <v>4733.3700984985207</v>
      </c>
      <c r="L21" s="78">
        <f t="shared" si="6"/>
        <v>4708.7543719313817</v>
      </c>
      <c r="M21" s="78">
        <f t="shared" si="6"/>
        <v>4743.8672530141939</v>
      </c>
      <c r="N21" s="78">
        <f t="shared" si="6"/>
        <v>4846.7954087528415</v>
      </c>
      <c r="O21" s="78">
        <f>SUM(O8:O20)</f>
        <v>5019.0120267697166</v>
      </c>
      <c r="P21" s="78">
        <f t="shared" si="6"/>
        <v>5274.5304029419685</v>
      </c>
    </row>
    <row r="23" spans="1:17" x14ac:dyDescent="0.3">
      <c r="A23" s="16">
        <v>2</v>
      </c>
      <c r="B23" s="21" t="s">
        <v>76</v>
      </c>
    </row>
    <row r="24" spans="1:17" x14ac:dyDescent="0.3">
      <c r="B24" s="2" t="s">
        <v>77</v>
      </c>
      <c r="C24" s="2">
        <v>781.38</v>
      </c>
      <c r="D24" s="2">
        <v>740.96</v>
      </c>
      <c r="E24" s="2">
        <v>1091.49</v>
      </c>
      <c r="F24" s="2">
        <v>1367.49</v>
      </c>
      <c r="G24" s="2">
        <v>1193.26</v>
      </c>
      <c r="H24" s="2">
        <v>1181.22</v>
      </c>
      <c r="I24" s="2">
        <v>1236.51</v>
      </c>
      <c r="J24" s="83">
        <f>'Working Capital Schedule'!J11</f>
        <v>1527.6793282815704</v>
      </c>
      <c r="K24" s="83">
        <f>'Working Capital Schedule'!K11</f>
        <v>1626.7368542416118</v>
      </c>
      <c r="L24" s="83">
        <f>'Working Capital Schedule'!L11</f>
        <v>1673.187243586565</v>
      </c>
      <c r="M24" s="83">
        <f>'Working Capital Schedule'!M11</f>
        <v>2030.8364740944842</v>
      </c>
      <c r="N24" s="83">
        <f>'Working Capital Schedule'!N11</f>
        <v>2250.8720562651852</v>
      </c>
      <c r="O24" s="83">
        <f>'Working Capital Schedule'!O11</f>
        <v>2470.0177079618716</v>
      </c>
      <c r="P24" s="83">
        <f>'Working Capital Schedule'!P11</f>
        <v>2783.9632493067202</v>
      </c>
    </row>
    <row r="25" spans="1:17" x14ac:dyDescent="0.3">
      <c r="B25" s="2" t="s">
        <v>78</v>
      </c>
    </row>
    <row r="26" spans="1:17" x14ac:dyDescent="0.3">
      <c r="B26" s="2" t="s">
        <v>104</v>
      </c>
      <c r="C26" s="2">
        <v>749.88</v>
      </c>
      <c r="D26" s="2">
        <v>1008.77</v>
      </c>
      <c r="E26" s="2">
        <v>1393.25</v>
      </c>
      <c r="F26" s="2">
        <v>833.73</v>
      </c>
      <c r="G26" s="2">
        <v>1800.99</v>
      </c>
      <c r="H26" s="2">
        <v>1696.51</v>
      </c>
      <c r="I26" s="2">
        <v>1111.6400000000001</v>
      </c>
      <c r="J26" s="76">
        <f>I26</f>
        <v>1111.6400000000001</v>
      </c>
      <c r="K26" s="76">
        <f t="shared" ref="K26:P26" si="7">J26</f>
        <v>1111.6400000000001</v>
      </c>
      <c r="L26" s="76">
        <f t="shared" si="7"/>
        <v>1111.6400000000001</v>
      </c>
      <c r="M26" s="76">
        <f t="shared" si="7"/>
        <v>1111.6400000000001</v>
      </c>
      <c r="N26" s="76">
        <f t="shared" si="7"/>
        <v>1111.6400000000001</v>
      </c>
      <c r="O26" s="76">
        <f t="shared" si="7"/>
        <v>1111.6400000000001</v>
      </c>
      <c r="P26" s="76">
        <f t="shared" si="7"/>
        <v>1111.6400000000001</v>
      </c>
    </row>
    <row r="27" spans="1:17" x14ac:dyDescent="0.3">
      <c r="B27" s="2" t="s">
        <v>105</v>
      </c>
      <c r="C27" s="2">
        <v>394.24</v>
      </c>
      <c r="D27" s="2">
        <v>320.36</v>
      </c>
      <c r="E27" s="2">
        <v>257.27</v>
      </c>
      <c r="F27" s="2">
        <v>331.93</v>
      </c>
      <c r="G27" s="2">
        <v>328.94</v>
      </c>
      <c r="H27" s="2">
        <v>393.33</v>
      </c>
      <c r="I27" s="2">
        <v>448.61</v>
      </c>
      <c r="J27" s="83">
        <f>'Working Capital Schedule'!J24</f>
        <v>428.67910813491403</v>
      </c>
      <c r="K27" s="83">
        <f>'Working Capital Schedule'!K24</f>
        <v>522.88797141899829</v>
      </c>
      <c r="L27" s="83">
        <f>'Working Capital Schedule'!L24</f>
        <v>517.30270878292879</v>
      </c>
      <c r="M27" s="83">
        <f>'Working Capital Schedule'!M24</f>
        <v>629.45322568519271</v>
      </c>
      <c r="N27" s="83">
        <f>'Working Capital Schedule'!N24</f>
        <v>646.53360276243791</v>
      </c>
      <c r="O27" s="83">
        <f>'Working Capital Schedule'!O24</f>
        <v>787.62690933404349</v>
      </c>
      <c r="P27" s="83">
        <f>'Working Capital Schedule'!P24</f>
        <v>842.09290689710895</v>
      </c>
    </row>
    <row r="28" spans="1:17" x14ac:dyDescent="0.3">
      <c r="B28" s="2" t="s">
        <v>106</v>
      </c>
      <c r="C28" s="2">
        <v>60.32</v>
      </c>
      <c r="D28" s="2">
        <v>81.23</v>
      </c>
      <c r="E28" s="2">
        <v>142.74</v>
      </c>
      <c r="F28" s="2">
        <v>117.99</v>
      </c>
      <c r="G28" s="2">
        <v>102.38</v>
      </c>
      <c r="H28" s="2">
        <v>322.8</v>
      </c>
      <c r="I28" s="2">
        <v>132.78</v>
      </c>
      <c r="J28" s="83">
        <f ca="1">CFS!J64</f>
        <v>1818.1599999999964</v>
      </c>
      <c r="K28" s="83">
        <f ca="1">CFS!K64</f>
        <v>4163.2099999999946</v>
      </c>
      <c r="L28" s="83">
        <f ca="1">CFS!L64</f>
        <v>7648.4499999999971</v>
      </c>
      <c r="M28" s="83">
        <f ca="1">CFS!M64</f>
        <v>12739.519999999997</v>
      </c>
      <c r="N28" s="83">
        <f ca="1">CFS!N64</f>
        <v>18896.2</v>
      </c>
      <c r="O28" s="83">
        <f ca="1">CFS!O64</f>
        <v>28895.25</v>
      </c>
      <c r="P28" s="83">
        <f ca="1">CFS!P64</f>
        <v>44241.369999999981</v>
      </c>
      <c r="Q28" s="83"/>
    </row>
    <row r="29" spans="1:17" x14ac:dyDescent="0.3">
      <c r="B29" s="2" t="s">
        <v>107</v>
      </c>
      <c r="C29" s="2">
        <v>49.5</v>
      </c>
      <c r="D29" s="2">
        <v>41.62</v>
      </c>
      <c r="E29" s="2">
        <v>68.599999999999994</v>
      </c>
      <c r="F29" s="2">
        <v>66.91</v>
      </c>
      <c r="G29" s="2">
        <v>95.6</v>
      </c>
      <c r="H29" s="2">
        <v>123.55</v>
      </c>
      <c r="I29" s="2">
        <v>179.7</v>
      </c>
      <c r="J29" s="76">
        <f>I29</f>
        <v>179.7</v>
      </c>
      <c r="K29" s="76">
        <f t="shared" ref="K29:P29" si="8">J29</f>
        <v>179.7</v>
      </c>
      <c r="L29" s="76">
        <f t="shared" si="8"/>
        <v>179.7</v>
      </c>
      <c r="M29" s="76">
        <f t="shared" si="8"/>
        <v>179.7</v>
      </c>
      <c r="N29" s="76">
        <f t="shared" si="8"/>
        <v>179.7</v>
      </c>
      <c r="O29" s="76">
        <f t="shared" si="8"/>
        <v>179.7</v>
      </c>
      <c r="P29" s="76">
        <f t="shared" si="8"/>
        <v>179.7</v>
      </c>
    </row>
    <row r="30" spans="1:17" x14ac:dyDescent="0.3">
      <c r="B30" s="2" t="s">
        <v>108</v>
      </c>
      <c r="C30" s="2">
        <v>1203.92</v>
      </c>
      <c r="D30" s="2">
        <v>1110.1099999999999</v>
      </c>
      <c r="E30" s="2">
        <v>946.56</v>
      </c>
      <c r="F30" s="2">
        <v>698</v>
      </c>
      <c r="G30" s="2">
        <v>560</v>
      </c>
      <c r="H30" s="2">
        <v>460</v>
      </c>
      <c r="I30" s="2">
        <v>50</v>
      </c>
      <c r="J30" s="76">
        <f>I30</f>
        <v>50</v>
      </c>
      <c r="K30" s="76">
        <f t="shared" ref="K30:P30" si="9">J30</f>
        <v>50</v>
      </c>
      <c r="L30" s="76">
        <f t="shared" si="9"/>
        <v>50</v>
      </c>
      <c r="M30" s="76">
        <f t="shared" si="9"/>
        <v>50</v>
      </c>
      <c r="N30" s="76">
        <f t="shared" si="9"/>
        <v>50</v>
      </c>
      <c r="O30" s="76">
        <f t="shared" si="9"/>
        <v>50</v>
      </c>
      <c r="P30" s="76">
        <f t="shared" si="9"/>
        <v>50</v>
      </c>
    </row>
    <row r="31" spans="1:17" x14ac:dyDescent="0.3">
      <c r="B31" s="2" t="s">
        <v>109</v>
      </c>
      <c r="C31" s="2">
        <v>126.29</v>
      </c>
      <c r="D31" s="2">
        <v>229.75</v>
      </c>
      <c r="E31" s="2">
        <v>397.76</v>
      </c>
      <c r="F31" s="2">
        <v>428.03</v>
      </c>
      <c r="G31" s="2">
        <v>451.96</v>
      </c>
      <c r="H31" s="2">
        <v>531.13</v>
      </c>
      <c r="I31" s="2">
        <v>630.46</v>
      </c>
      <c r="J31" s="76">
        <f>I31</f>
        <v>630.46</v>
      </c>
      <c r="K31" s="76">
        <f t="shared" ref="K31:P31" si="10">J31</f>
        <v>630.46</v>
      </c>
      <c r="L31" s="76">
        <f t="shared" si="10"/>
        <v>630.46</v>
      </c>
      <c r="M31" s="76">
        <f t="shared" si="10"/>
        <v>630.46</v>
      </c>
      <c r="N31" s="76">
        <f t="shared" si="10"/>
        <v>630.46</v>
      </c>
      <c r="O31" s="76">
        <f t="shared" si="10"/>
        <v>630.46</v>
      </c>
      <c r="P31" s="76">
        <f t="shared" si="10"/>
        <v>630.46</v>
      </c>
    </row>
    <row r="32" spans="1:17" x14ac:dyDescent="0.3">
      <c r="B32" s="2" t="s">
        <v>79</v>
      </c>
      <c r="C32" s="2">
        <v>160.81</v>
      </c>
      <c r="D32" s="2">
        <v>142.16999999999999</v>
      </c>
      <c r="E32" s="2">
        <v>122.01</v>
      </c>
      <c r="F32" s="2">
        <v>138.22</v>
      </c>
      <c r="G32" s="2">
        <v>180.74</v>
      </c>
      <c r="H32" s="2">
        <v>133.71</v>
      </c>
      <c r="I32" s="2">
        <v>123.98</v>
      </c>
      <c r="J32" s="76">
        <f>I32</f>
        <v>123.98</v>
      </c>
      <c r="K32" s="76">
        <f t="shared" ref="K32:P32" si="11">J32</f>
        <v>123.98</v>
      </c>
      <c r="L32" s="76">
        <f t="shared" si="11"/>
        <v>123.98</v>
      </c>
      <c r="M32" s="76">
        <f t="shared" si="11"/>
        <v>123.98</v>
      </c>
      <c r="N32" s="76">
        <f t="shared" si="11"/>
        <v>123.98</v>
      </c>
      <c r="O32" s="76">
        <f t="shared" si="11"/>
        <v>123.98</v>
      </c>
      <c r="P32" s="76">
        <f t="shared" si="11"/>
        <v>123.98</v>
      </c>
    </row>
    <row r="33" spans="1:19" x14ac:dyDescent="0.3">
      <c r="B33" s="2" t="s">
        <v>118</v>
      </c>
      <c r="E33" s="2">
        <v>0</v>
      </c>
      <c r="F33" s="2">
        <v>0</v>
      </c>
      <c r="G33" s="2">
        <v>32.36</v>
      </c>
      <c r="H33" s="2">
        <v>6.41</v>
      </c>
      <c r="I33" s="2">
        <v>0</v>
      </c>
      <c r="J33" s="76">
        <f>I33</f>
        <v>0</v>
      </c>
      <c r="K33" s="76">
        <f t="shared" ref="K33:P33" si="12">J33</f>
        <v>0</v>
      </c>
      <c r="L33" s="76">
        <f t="shared" si="12"/>
        <v>0</v>
      </c>
      <c r="M33" s="76">
        <f t="shared" si="12"/>
        <v>0</v>
      </c>
      <c r="N33" s="76">
        <f t="shared" si="12"/>
        <v>0</v>
      </c>
      <c r="O33" s="76">
        <f t="shared" si="12"/>
        <v>0</v>
      </c>
      <c r="P33" s="76">
        <f t="shared" si="12"/>
        <v>0</v>
      </c>
    </row>
    <row r="34" spans="1:19" x14ac:dyDescent="0.3">
      <c r="B34" s="77" t="s">
        <v>80</v>
      </c>
      <c r="C34" s="78">
        <f t="shared" ref="C34:P34" si="13">SUM(C24:C32)</f>
        <v>3526.3399999999997</v>
      </c>
      <c r="D34" s="78">
        <f>SUM(D24:D32)</f>
        <v>3674.9700000000003</v>
      </c>
      <c r="E34" s="78">
        <f>SUM(E24:E33)</f>
        <v>4419.68</v>
      </c>
      <c r="F34" s="78">
        <f>SUM(F24:F33)</f>
        <v>3982.2999999999997</v>
      </c>
      <c r="G34" s="78">
        <f>SUM(G24:G33)</f>
        <v>4746.2299999999996</v>
      </c>
      <c r="H34" s="78">
        <f>SUM(H24:H33)</f>
        <v>4848.66</v>
      </c>
      <c r="I34" s="78">
        <f>SUM(I24:I33)</f>
        <v>3913.6800000000003</v>
      </c>
      <c r="J34" s="78">
        <f ca="1">SUM(J24:J32)</f>
        <v>5870.2984364164804</v>
      </c>
      <c r="K34" s="78">
        <f t="shared" ca="1" si="13"/>
        <v>8408.6148256606048</v>
      </c>
      <c r="L34" s="78">
        <f t="shared" ca="1" si="13"/>
        <v>11934.719952369491</v>
      </c>
      <c r="M34" s="78">
        <f t="shared" ca="1" si="13"/>
        <v>17495.589699779674</v>
      </c>
      <c r="N34" s="78">
        <f t="shared" ca="1" si="13"/>
        <v>23889.385659027623</v>
      </c>
      <c r="O34" s="78">
        <f ca="1">SUM(O24:O32)</f>
        <v>34248.674617295917</v>
      </c>
      <c r="P34" s="78">
        <f t="shared" ca="1" si="13"/>
        <v>49963.206156203807</v>
      </c>
    </row>
    <row r="36" spans="1:19" ht="15" thickBot="1" x14ac:dyDescent="0.35">
      <c r="B36" s="79" t="s">
        <v>81</v>
      </c>
      <c r="C36" s="80">
        <f>SUM(C21+C34)</f>
        <v>6241.82</v>
      </c>
      <c r="D36" s="80">
        <f t="shared" ref="D36:N36" si="14">SUM(D21+D34)</f>
        <v>7842.23</v>
      </c>
      <c r="E36" s="80">
        <f t="shared" si="14"/>
        <v>8008.7800000000007</v>
      </c>
      <c r="F36" s="80">
        <f t="shared" si="14"/>
        <v>7527.41</v>
      </c>
      <c r="G36" s="80">
        <f t="shared" si="14"/>
        <v>9352.7199999999993</v>
      </c>
      <c r="H36" s="80">
        <f t="shared" si="14"/>
        <v>9073.5600000000013</v>
      </c>
      <c r="I36" s="80">
        <f t="shared" si="14"/>
        <v>8838.5500000000011</v>
      </c>
      <c r="J36" s="80">
        <f ca="1">SUM(J21+J34)</f>
        <v>10677.769339555494</v>
      </c>
      <c r="K36" s="80">
        <f t="shared" ca="1" si="14"/>
        <v>13141.984924159126</v>
      </c>
      <c r="L36" s="80">
        <f t="shared" ca="1" si="14"/>
        <v>16643.474324300871</v>
      </c>
      <c r="M36" s="80">
        <f t="shared" ca="1" si="14"/>
        <v>22239.456952793866</v>
      </c>
      <c r="N36" s="80">
        <f t="shared" ca="1" si="14"/>
        <v>28736.181067780464</v>
      </c>
      <c r="O36" s="80">
        <f ca="1">SUM(O21+O34)</f>
        <v>39267.68664406563</v>
      </c>
      <c r="P36" s="80">
        <f ca="1">SUM(P21+P34)</f>
        <v>55237.736559145778</v>
      </c>
    </row>
    <row r="38" spans="1:19" x14ac:dyDescent="0.3">
      <c r="A38" s="16" t="s">
        <v>9</v>
      </c>
      <c r="B38" s="81" t="s">
        <v>83</v>
      </c>
    </row>
    <row r="39" spans="1:19" x14ac:dyDescent="0.3">
      <c r="A39" s="16" t="s">
        <v>63</v>
      </c>
      <c r="B39" s="21" t="s">
        <v>84</v>
      </c>
    </row>
    <row r="40" spans="1:19" x14ac:dyDescent="0.3">
      <c r="B40" s="2" t="s">
        <v>82</v>
      </c>
      <c r="C40" s="2">
        <v>24.03</v>
      </c>
      <c r="D40" s="2">
        <v>24.05</v>
      </c>
      <c r="E40" s="2">
        <v>24.09</v>
      </c>
      <c r="F40" s="2">
        <v>24.09</v>
      </c>
      <c r="G40" s="2">
        <v>24.09</v>
      </c>
      <c r="H40" s="2">
        <v>24.09</v>
      </c>
      <c r="I40" s="2">
        <v>24.09</v>
      </c>
      <c r="J40" s="76">
        <f>I40</f>
        <v>24.09</v>
      </c>
      <c r="K40" s="76">
        <f t="shared" ref="K40:P40" si="15">J40</f>
        <v>24.09</v>
      </c>
      <c r="L40" s="76">
        <f t="shared" si="15"/>
        <v>24.09</v>
      </c>
      <c r="M40" s="76">
        <f t="shared" si="15"/>
        <v>24.09</v>
      </c>
      <c r="N40" s="76">
        <f t="shared" si="15"/>
        <v>24.09</v>
      </c>
      <c r="O40" s="76">
        <f t="shared" si="15"/>
        <v>24.09</v>
      </c>
      <c r="P40" s="76">
        <f t="shared" si="15"/>
        <v>24.09</v>
      </c>
    </row>
    <row r="41" spans="1:19" x14ac:dyDescent="0.3">
      <c r="B41" s="2" t="s">
        <v>99</v>
      </c>
      <c r="C41" s="2">
        <v>4229.22</v>
      </c>
      <c r="D41" s="2">
        <v>4378.78</v>
      </c>
      <c r="E41" s="2">
        <v>3523.57</v>
      </c>
      <c r="F41" s="2">
        <v>2534.0100000000002</v>
      </c>
      <c r="G41" s="2">
        <v>3510.18</v>
      </c>
      <c r="H41" s="2">
        <v>3917.43</v>
      </c>
      <c r="I41" s="2">
        <v>4331.63</v>
      </c>
      <c r="J41" s="83">
        <f ca="1">I41+'Income Statement'!J38+CFS!J57</f>
        <v>5405.974338479793</v>
      </c>
      <c r="K41" s="83">
        <f ca="1">J41+'Income Statement'!K38+CFS!K57</f>
        <v>6631.9513037239367</v>
      </c>
      <c r="L41" s="83">
        <f ca="1">K41+'Income Statement'!L38+CFS!L57</f>
        <v>8919.936575760099</v>
      </c>
      <c r="M41" s="83">
        <f ca="1">L41+'Income Statement'!M38+CFS!M57</f>
        <v>11633.992774627672</v>
      </c>
      <c r="N41" s="83">
        <f ca="1">M41+'Income Statement'!N38+CFS!N57</f>
        <v>14673.310456543628</v>
      </c>
      <c r="O41" s="83">
        <f ca="1">N41+'Income Statement'!O38+CFS!O57</f>
        <v>19129.338606177636</v>
      </c>
      <c r="P41" s="83">
        <f ca="1">O41+'Income Statement'!P38+CFS!P57</f>
        <v>25858.743304630891</v>
      </c>
    </row>
    <row r="42" spans="1:19" x14ac:dyDescent="0.3">
      <c r="B42" s="21" t="s">
        <v>100</v>
      </c>
      <c r="C42" s="22">
        <f>SUM(C40:C41)</f>
        <v>4253.25</v>
      </c>
      <c r="D42" s="22">
        <f t="shared" ref="D42:P42" si="16">SUM(D40:D41)</f>
        <v>4402.83</v>
      </c>
      <c r="E42" s="22">
        <f t="shared" si="16"/>
        <v>3547.6600000000003</v>
      </c>
      <c r="F42" s="22">
        <f t="shared" si="16"/>
        <v>2558.1000000000004</v>
      </c>
      <c r="G42" s="22">
        <f t="shared" si="16"/>
        <v>3534.27</v>
      </c>
      <c r="H42" s="22">
        <f t="shared" si="16"/>
        <v>3941.52</v>
      </c>
      <c r="I42" s="22">
        <f t="shared" si="16"/>
        <v>4355.72</v>
      </c>
      <c r="J42" s="22">
        <f ca="1">SUM(J40:J41)</f>
        <v>5430.0643384797932</v>
      </c>
      <c r="K42" s="22">
        <f t="shared" ca="1" si="16"/>
        <v>6656.0413037239368</v>
      </c>
      <c r="L42" s="22">
        <f t="shared" ca="1" si="16"/>
        <v>8944.0265757600991</v>
      </c>
      <c r="M42" s="22">
        <f t="shared" ca="1" si="16"/>
        <v>11658.082774627672</v>
      </c>
      <c r="N42" s="22">
        <f t="shared" ca="1" si="16"/>
        <v>14697.400456543628</v>
      </c>
      <c r="O42" s="22">
        <f t="shared" ca="1" si="16"/>
        <v>19153.428606177637</v>
      </c>
      <c r="P42" s="22">
        <f t="shared" ca="1" si="16"/>
        <v>25882.833304630891</v>
      </c>
    </row>
    <row r="43" spans="1:19" x14ac:dyDescent="0.3">
      <c r="B43" s="2" t="s">
        <v>52</v>
      </c>
      <c r="C43" s="2">
        <v>32.68</v>
      </c>
      <c r="D43" s="2">
        <v>35.65</v>
      </c>
      <c r="E43" s="2">
        <v>36.340000000000003</v>
      </c>
      <c r="F43" s="2">
        <v>27.5</v>
      </c>
      <c r="G43" s="2">
        <v>30.23</v>
      </c>
      <c r="H43" s="2">
        <v>24.5</v>
      </c>
      <c r="I43" s="2">
        <v>25.6</v>
      </c>
      <c r="J43" s="76">
        <f>I43</f>
        <v>25.6</v>
      </c>
      <c r="K43" s="76">
        <f t="shared" ref="K43:P43" si="17">J43</f>
        <v>25.6</v>
      </c>
      <c r="L43" s="76">
        <f t="shared" si="17"/>
        <v>25.6</v>
      </c>
      <c r="M43" s="76">
        <f t="shared" si="17"/>
        <v>25.6</v>
      </c>
      <c r="N43" s="76">
        <f t="shared" si="17"/>
        <v>25.6</v>
      </c>
      <c r="O43" s="76">
        <f t="shared" si="17"/>
        <v>25.6</v>
      </c>
      <c r="P43" s="76">
        <f t="shared" si="17"/>
        <v>25.6</v>
      </c>
    </row>
    <row r="44" spans="1:19" x14ac:dyDescent="0.3">
      <c r="B44" s="77" t="s">
        <v>85</v>
      </c>
      <c r="C44" s="78">
        <f>SUM(C42:C43)</f>
        <v>4285.93</v>
      </c>
      <c r="D44" s="78">
        <f t="shared" ref="D44:P44" si="18">SUM(D42:D43)</f>
        <v>4438.4799999999996</v>
      </c>
      <c r="E44" s="78">
        <f t="shared" si="18"/>
        <v>3584.0000000000005</v>
      </c>
      <c r="F44" s="78">
        <f t="shared" si="18"/>
        <v>2585.6000000000004</v>
      </c>
      <c r="G44" s="78">
        <f t="shared" si="18"/>
        <v>3564.5</v>
      </c>
      <c r="H44" s="78">
        <f t="shared" si="18"/>
        <v>3966.02</v>
      </c>
      <c r="I44" s="78">
        <f t="shared" si="18"/>
        <v>4381.3200000000006</v>
      </c>
      <c r="J44" s="78">
        <f ca="1">SUM(J42:J43)</f>
        <v>5455.6643384797935</v>
      </c>
      <c r="K44" s="78">
        <f t="shared" ca="1" si="18"/>
        <v>6681.6413037239372</v>
      </c>
      <c r="L44" s="78">
        <f t="shared" ca="1" si="18"/>
        <v>8969.6265757600995</v>
      </c>
      <c r="M44" s="78">
        <f t="shared" ca="1" si="18"/>
        <v>11683.682774627672</v>
      </c>
      <c r="N44" s="78">
        <f t="shared" ca="1" si="18"/>
        <v>14723.000456543628</v>
      </c>
      <c r="O44" s="78">
        <f t="shared" ca="1" si="18"/>
        <v>19179.028606177635</v>
      </c>
      <c r="P44" s="78">
        <f t="shared" ca="1" si="18"/>
        <v>25908.433304630889</v>
      </c>
    </row>
    <row r="45" spans="1:19" x14ac:dyDescent="0.3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9" x14ac:dyDescent="0.3">
      <c r="A46" s="16" t="s">
        <v>92</v>
      </c>
      <c r="B46" s="21" t="s">
        <v>90</v>
      </c>
      <c r="S46" s="145"/>
    </row>
    <row r="47" spans="1:19" x14ac:dyDescent="0.3">
      <c r="A47" s="16">
        <v>1</v>
      </c>
      <c r="B47" s="21" t="s">
        <v>91</v>
      </c>
      <c r="K47" s="146"/>
    </row>
    <row r="48" spans="1:19" x14ac:dyDescent="0.3">
      <c r="B48" s="2" t="s">
        <v>112</v>
      </c>
    </row>
    <row r="49" spans="1:16" x14ac:dyDescent="0.3">
      <c r="B49" s="2" t="s">
        <v>110</v>
      </c>
      <c r="C49" s="2">
        <v>61.92</v>
      </c>
      <c r="D49" s="2">
        <v>766.06</v>
      </c>
      <c r="E49" s="2">
        <v>747.75</v>
      </c>
      <c r="F49" s="2">
        <v>706.99</v>
      </c>
      <c r="G49" s="2">
        <v>1551.8</v>
      </c>
      <c r="H49" s="2">
        <v>904.72</v>
      </c>
      <c r="I49" s="2">
        <v>712.94</v>
      </c>
      <c r="J49" s="83">
        <f>'Debt Schedule'!J15</f>
        <v>1006.3023476908596</v>
      </c>
      <c r="K49" s="83">
        <f>'Debt Schedule'!K15</f>
        <v>1319.7246412653856</v>
      </c>
      <c r="L49" s="83">
        <f>'Debt Schedule'!L15</f>
        <v>1657.8317043777272</v>
      </c>
      <c r="M49" s="83">
        <f>'Debt Schedule'!M15</f>
        <v>2026.4159442355124</v>
      </c>
      <c r="N49" s="83">
        <f>'Debt Schedule'!N15</f>
        <v>2432.8093918804666</v>
      </c>
      <c r="O49" s="83">
        <f>'Debt Schedule'!O15</f>
        <v>2886.3973852061717</v>
      </c>
      <c r="P49" s="83">
        <f>'Debt Schedule'!P15</f>
        <v>3399.3367491238541</v>
      </c>
    </row>
    <row r="50" spans="1:16" x14ac:dyDescent="0.3">
      <c r="B50" s="2" t="s">
        <v>111</v>
      </c>
      <c r="C50" s="2">
        <v>27.24</v>
      </c>
      <c r="D50" s="2">
        <v>46.54</v>
      </c>
      <c r="E50" s="2">
        <v>54.07</v>
      </c>
      <c r="F50" s="2">
        <v>13.76</v>
      </c>
      <c r="G50" s="2">
        <v>14.36</v>
      </c>
      <c r="H50" s="2">
        <v>20.13</v>
      </c>
      <c r="I50" s="2">
        <v>19.45</v>
      </c>
      <c r="J50" s="76">
        <f>I50</f>
        <v>19.45</v>
      </c>
      <c r="K50" s="76">
        <f t="shared" ref="K50:P50" si="19">J50</f>
        <v>19.45</v>
      </c>
      <c r="L50" s="76">
        <f t="shared" si="19"/>
        <v>19.45</v>
      </c>
      <c r="M50" s="76">
        <f t="shared" si="19"/>
        <v>19.45</v>
      </c>
      <c r="N50" s="76">
        <f t="shared" si="19"/>
        <v>19.45</v>
      </c>
      <c r="O50" s="76">
        <f t="shared" si="19"/>
        <v>19.45</v>
      </c>
      <c r="P50" s="76">
        <f t="shared" si="19"/>
        <v>19.45</v>
      </c>
    </row>
    <row r="51" spans="1:16" x14ac:dyDescent="0.3">
      <c r="B51" s="2" t="s">
        <v>86</v>
      </c>
      <c r="C51" s="2">
        <v>3.87</v>
      </c>
      <c r="D51" s="2">
        <v>12.69</v>
      </c>
      <c r="E51" s="2">
        <v>8.69</v>
      </c>
      <c r="F51" s="2">
        <v>52.64</v>
      </c>
      <c r="G51" s="2">
        <v>60.15</v>
      </c>
      <c r="H51" s="2">
        <v>65.66</v>
      </c>
      <c r="I51" s="2">
        <v>72.209999999999994</v>
      </c>
      <c r="J51" s="76">
        <f>I51</f>
        <v>72.209999999999994</v>
      </c>
      <c r="K51" s="76">
        <f t="shared" ref="K51:P51" si="20">J51</f>
        <v>72.209999999999994</v>
      </c>
      <c r="L51" s="76">
        <f t="shared" si="20"/>
        <v>72.209999999999994</v>
      </c>
      <c r="M51" s="76">
        <f t="shared" si="20"/>
        <v>72.209999999999994</v>
      </c>
      <c r="N51" s="76">
        <f t="shared" si="20"/>
        <v>72.209999999999994</v>
      </c>
      <c r="O51" s="76">
        <f t="shared" si="20"/>
        <v>72.209999999999994</v>
      </c>
      <c r="P51" s="76">
        <f t="shared" si="20"/>
        <v>72.209999999999994</v>
      </c>
    </row>
    <row r="52" spans="1:16" x14ac:dyDescent="0.3">
      <c r="B52" s="2" t="s">
        <v>96</v>
      </c>
      <c r="C52" s="2">
        <v>0</v>
      </c>
      <c r="D52" s="2">
        <v>0</v>
      </c>
      <c r="E52" s="2">
        <v>0</v>
      </c>
      <c r="F52" s="2">
        <v>0.81</v>
      </c>
      <c r="G52" s="2">
        <v>1.87</v>
      </c>
      <c r="H52" s="2">
        <v>2.06</v>
      </c>
      <c r="I52" s="2">
        <v>1.8</v>
      </c>
      <c r="J52" s="76">
        <f>I52</f>
        <v>1.8</v>
      </c>
      <c r="K52" s="76">
        <f t="shared" ref="K52:P52" si="21">J52</f>
        <v>1.8</v>
      </c>
      <c r="L52" s="76">
        <f t="shared" si="21"/>
        <v>1.8</v>
      </c>
      <c r="M52" s="76">
        <f t="shared" si="21"/>
        <v>1.8</v>
      </c>
      <c r="N52" s="76">
        <f t="shared" si="21"/>
        <v>1.8</v>
      </c>
      <c r="O52" s="76">
        <f t="shared" si="21"/>
        <v>1.8</v>
      </c>
      <c r="P52" s="76">
        <f t="shared" si="21"/>
        <v>1.8</v>
      </c>
    </row>
    <row r="53" spans="1:16" x14ac:dyDescent="0.3">
      <c r="B53" s="2" t="s">
        <v>94</v>
      </c>
      <c r="C53" s="2">
        <v>11.45</v>
      </c>
      <c r="D53" s="2">
        <v>0</v>
      </c>
      <c r="E53" s="2">
        <v>0</v>
      </c>
      <c r="F53" s="2">
        <v>20.47</v>
      </c>
      <c r="G53" s="2">
        <v>25.64</v>
      </c>
      <c r="H53" s="2">
        <v>30.56</v>
      </c>
      <c r="I53" s="2">
        <v>32.57</v>
      </c>
      <c r="J53" s="76">
        <f>I53</f>
        <v>32.57</v>
      </c>
      <c r="K53" s="76">
        <f t="shared" ref="K53:P53" si="22">J53</f>
        <v>32.57</v>
      </c>
      <c r="L53" s="76">
        <f t="shared" si="22"/>
        <v>32.57</v>
      </c>
      <c r="M53" s="76">
        <f t="shared" si="22"/>
        <v>32.57</v>
      </c>
      <c r="N53" s="76">
        <f t="shared" si="22"/>
        <v>32.57</v>
      </c>
      <c r="O53" s="76">
        <f t="shared" si="22"/>
        <v>32.57</v>
      </c>
      <c r="P53" s="76">
        <f t="shared" si="22"/>
        <v>32.57</v>
      </c>
    </row>
    <row r="54" spans="1:16" x14ac:dyDescent="0.3">
      <c r="B54" s="77" t="s">
        <v>87</v>
      </c>
      <c r="C54" s="78">
        <f>SUM(C48:C53)</f>
        <v>104.48</v>
      </c>
      <c r="D54" s="78">
        <f t="shared" ref="D54:H54" si="23">SUM(D48:D53)</f>
        <v>825.29</v>
      </c>
      <c r="E54" s="78">
        <f t="shared" si="23"/>
        <v>810.5100000000001</v>
      </c>
      <c r="F54" s="78">
        <f t="shared" si="23"/>
        <v>794.67</v>
      </c>
      <c r="G54" s="78">
        <f t="shared" si="23"/>
        <v>1653.82</v>
      </c>
      <c r="H54" s="78">
        <f t="shared" si="23"/>
        <v>1023.1299999999999</v>
      </c>
      <c r="I54" s="78">
        <f t="shared" ref="I54" si="24">SUM(I48:I53)</f>
        <v>838.97000000000014</v>
      </c>
      <c r="J54" s="78">
        <f>SUM(J48:J53)</f>
        <v>1132.3323476908595</v>
      </c>
      <c r="K54" s="78">
        <f t="shared" ref="K54" si="25">SUM(K48:K53)</f>
        <v>1445.7546412653855</v>
      </c>
      <c r="L54" s="78">
        <f t="shared" ref="L54:M54" si="26">SUM(L48:L53)</f>
        <v>1783.8617043777272</v>
      </c>
      <c r="M54" s="78">
        <f t="shared" si="26"/>
        <v>2152.4459442355128</v>
      </c>
      <c r="N54" s="78">
        <f t="shared" ref="N54" si="27">SUM(N48:N53)</f>
        <v>2558.8393918804668</v>
      </c>
      <c r="O54" s="78">
        <f t="shared" ref="O54" si="28">SUM(O48:O53)</f>
        <v>3012.4273852061719</v>
      </c>
      <c r="P54" s="78">
        <f t="shared" ref="P54" si="29">SUM(P48:P53)</f>
        <v>3525.3667491238543</v>
      </c>
    </row>
    <row r="55" spans="1:16" x14ac:dyDescent="0.3">
      <c r="B55" s="21"/>
    </row>
    <row r="56" spans="1:16" x14ac:dyDescent="0.3">
      <c r="A56" s="16">
        <v>2</v>
      </c>
      <c r="B56" s="21" t="s">
        <v>93</v>
      </c>
    </row>
    <row r="57" spans="1:16" x14ac:dyDescent="0.3">
      <c r="B57" s="2" t="s">
        <v>95</v>
      </c>
    </row>
    <row r="58" spans="1:16" ht="28.8" x14ac:dyDescent="0.3">
      <c r="B58" s="23" t="s">
        <v>113</v>
      </c>
      <c r="C58" s="2">
        <v>1.78</v>
      </c>
      <c r="D58" s="2">
        <v>8.5299999999999994</v>
      </c>
      <c r="E58" s="2">
        <v>28.44</v>
      </c>
      <c r="F58" s="2">
        <v>62.76</v>
      </c>
      <c r="G58" s="2">
        <v>43.92</v>
      </c>
      <c r="H58" s="2">
        <v>30.83</v>
      </c>
      <c r="I58" s="2">
        <v>27.83</v>
      </c>
      <c r="J58" s="83">
        <f>'Working Capital Schedule'!J49</f>
        <v>38.354994786804447</v>
      </c>
      <c r="K58" s="83">
        <f>'Working Capital Schedule'!K49</f>
        <v>44.846744198190898</v>
      </c>
      <c r="L58" s="83">
        <f>'Working Capital Schedule'!L49</f>
        <v>41.55640231869954</v>
      </c>
      <c r="M58" s="83">
        <f>'Working Capital Schedule'!M49</f>
        <v>57.040836372494162</v>
      </c>
      <c r="N58" s="83">
        <f>'Working Capital Schedule'!N49</f>
        <v>58.245974378160291</v>
      </c>
      <c r="O58" s="83">
        <f>'Working Capital Schedule'!O49</f>
        <v>69.242034969616668</v>
      </c>
      <c r="P58" s="83">
        <f>'Working Capital Schedule'!P49</f>
        <v>70.880085955128507</v>
      </c>
    </row>
    <row r="59" spans="1:16" ht="28.8" x14ac:dyDescent="0.3">
      <c r="B59" s="23" t="s">
        <v>119</v>
      </c>
      <c r="C59" s="2">
        <v>1138.73</v>
      </c>
      <c r="D59" s="2">
        <v>1038.47</v>
      </c>
      <c r="E59" s="2">
        <v>1286.31</v>
      </c>
      <c r="F59" s="2">
        <v>1260.05</v>
      </c>
      <c r="G59" s="2">
        <v>1404.89</v>
      </c>
      <c r="H59" s="2">
        <v>1596.65</v>
      </c>
      <c r="I59" s="2">
        <v>1724.4</v>
      </c>
      <c r="J59" s="83">
        <f>'Working Capital Schedule'!J50</f>
        <v>1827.1047648453055</v>
      </c>
      <c r="K59" s="83">
        <f>'Working Capital Schedule'!K50</f>
        <v>2136.3501798859184</v>
      </c>
      <c r="L59" s="83">
        <f>'Working Capital Schedule'!L50</f>
        <v>1979.6092036609132</v>
      </c>
      <c r="M59" s="83">
        <f>'Working Capital Schedule'!M50</f>
        <v>2717.2362949401559</v>
      </c>
      <c r="N59" s="83">
        <f>'Working Capital Schedule'!N50</f>
        <v>2774.6450732410794</v>
      </c>
      <c r="O59" s="83">
        <f>'Working Capital Schedule'!O50</f>
        <v>3298.4609364123003</v>
      </c>
      <c r="P59" s="83">
        <f>'Working Capital Schedule'!P50</f>
        <v>3376.492253515175</v>
      </c>
    </row>
    <row r="60" spans="1:16" x14ac:dyDescent="0.3">
      <c r="B60" s="23" t="s">
        <v>120</v>
      </c>
      <c r="F60" s="2">
        <v>1.9</v>
      </c>
      <c r="G60" s="2">
        <v>2.5</v>
      </c>
      <c r="H60" s="2">
        <v>3.62</v>
      </c>
      <c r="I60" s="2">
        <v>2.29</v>
      </c>
      <c r="J60" s="76">
        <f>I60</f>
        <v>2.29</v>
      </c>
      <c r="K60" s="76">
        <f t="shared" ref="K60:P60" si="30">J60</f>
        <v>2.29</v>
      </c>
      <c r="L60" s="76">
        <f t="shared" si="30"/>
        <v>2.29</v>
      </c>
      <c r="M60" s="76">
        <f t="shared" si="30"/>
        <v>2.29</v>
      </c>
      <c r="N60" s="76">
        <f t="shared" si="30"/>
        <v>2.29</v>
      </c>
      <c r="O60" s="76">
        <f t="shared" si="30"/>
        <v>2.29</v>
      </c>
      <c r="P60" s="76">
        <f t="shared" si="30"/>
        <v>2.29</v>
      </c>
    </row>
    <row r="61" spans="1:16" x14ac:dyDescent="0.3">
      <c r="B61" s="2" t="s">
        <v>97</v>
      </c>
      <c r="C61" s="2">
        <v>95.22</v>
      </c>
      <c r="D61" s="2">
        <v>150.08000000000001</v>
      </c>
      <c r="E61" s="2">
        <v>140.54</v>
      </c>
      <c r="F61" s="2">
        <v>130.72999999999999</v>
      </c>
      <c r="G61" s="2">
        <v>176.34</v>
      </c>
      <c r="H61" s="2">
        <v>167.29</v>
      </c>
      <c r="I61" s="2">
        <v>194.7</v>
      </c>
      <c r="J61" s="76">
        <f>I61</f>
        <v>194.7</v>
      </c>
      <c r="K61" s="76">
        <f t="shared" ref="K61:P61" si="31">J61</f>
        <v>194.7</v>
      </c>
      <c r="L61" s="76">
        <f t="shared" si="31"/>
        <v>194.7</v>
      </c>
      <c r="M61" s="76">
        <f t="shared" si="31"/>
        <v>194.7</v>
      </c>
      <c r="N61" s="76">
        <f t="shared" si="31"/>
        <v>194.7</v>
      </c>
      <c r="O61" s="76">
        <f t="shared" si="31"/>
        <v>194.7</v>
      </c>
      <c r="P61" s="76">
        <f t="shared" si="31"/>
        <v>194.7</v>
      </c>
    </row>
    <row r="62" spans="1:16" x14ac:dyDescent="0.3">
      <c r="B62" s="2" t="s">
        <v>98</v>
      </c>
      <c r="C62" s="2">
        <v>196.51</v>
      </c>
      <c r="D62" s="2">
        <v>273.7</v>
      </c>
      <c r="E62" s="2">
        <v>387.47</v>
      </c>
      <c r="F62" s="2">
        <v>464.64</v>
      </c>
      <c r="G62" s="2">
        <v>513.39</v>
      </c>
      <c r="H62" s="2">
        <v>559.20000000000005</v>
      </c>
      <c r="I62" s="2">
        <v>604.66</v>
      </c>
      <c r="J62" s="76">
        <f>I62</f>
        <v>604.66</v>
      </c>
      <c r="K62" s="76">
        <f t="shared" ref="K62:P62" si="32">J62</f>
        <v>604.66</v>
      </c>
      <c r="L62" s="76">
        <f t="shared" si="32"/>
        <v>604.66</v>
      </c>
      <c r="M62" s="76">
        <f t="shared" si="32"/>
        <v>604.66</v>
      </c>
      <c r="N62" s="76">
        <f t="shared" si="32"/>
        <v>604.66</v>
      </c>
      <c r="O62" s="76">
        <f t="shared" si="32"/>
        <v>604.66</v>
      </c>
      <c r="P62" s="76">
        <f t="shared" si="32"/>
        <v>604.66</v>
      </c>
    </row>
    <row r="63" spans="1:16" x14ac:dyDescent="0.3">
      <c r="B63" s="2" t="s">
        <v>114</v>
      </c>
      <c r="C63" s="2">
        <v>269.2</v>
      </c>
      <c r="D63" s="2">
        <v>311.91000000000003</v>
      </c>
      <c r="E63" s="2">
        <v>356.01</v>
      </c>
      <c r="F63" s="2">
        <v>393.96</v>
      </c>
      <c r="G63" s="2">
        <v>496.21</v>
      </c>
      <c r="H63" s="2">
        <v>497.4</v>
      </c>
      <c r="I63" s="2">
        <v>429.34</v>
      </c>
      <c r="J63" s="76">
        <f>I63</f>
        <v>429.34</v>
      </c>
      <c r="K63" s="76">
        <f t="shared" ref="K63:P63" si="33">J63</f>
        <v>429.34</v>
      </c>
      <c r="L63" s="76">
        <f t="shared" si="33"/>
        <v>429.34</v>
      </c>
      <c r="M63" s="76">
        <f t="shared" si="33"/>
        <v>429.34</v>
      </c>
      <c r="N63" s="76">
        <f t="shared" si="33"/>
        <v>429.34</v>
      </c>
      <c r="O63" s="76">
        <f t="shared" si="33"/>
        <v>429.34</v>
      </c>
      <c r="P63" s="76">
        <f t="shared" si="33"/>
        <v>429.34</v>
      </c>
    </row>
    <row r="64" spans="1:16" x14ac:dyDescent="0.3">
      <c r="B64" s="2" t="s">
        <v>115</v>
      </c>
      <c r="C64" s="2">
        <v>76.099999999999994</v>
      </c>
      <c r="D64" s="2">
        <v>747.99</v>
      </c>
      <c r="E64" s="2">
        <v>1339.42</v>
      </c>
      <c r="F64" s="2">
        <v>1758.55</v>
      </c>
      <c r="G64" s="2">
        <v>1428.71</v>
      </c>
      <c r="H64" s="2">
        <v>1136.49</v>
      </c>
      <c r="I64" s="2">
        <v>511.83</v>
      </c>
      <c r="J64" s="83">
        <f>'Debt Schedule'!J44</f>
        <v>870.11099999999988</v>
      </c>
      <c r="K64" s="83">
        <f>'Debt Schedule'!K44</f>
        <v>1479.1886999999997</v>
      </c>
      <c r="L64" s="83">
        <f>'Debt Schedule'!L44</f>
        <v>2514.6207899999995</v>
      </c>
      <c r="M64" s="83">
        <f>'Debt Schedule'!M44</f>
        <v>4274.8553429999993</v>
      </c>
      <c r="N64" s="83">
        <f>'Debt Schedule'!N44</f>
        <v>7267.2540830999988</v>
      </c>
      <c r="O64" s="83">
        <f>'Debt Schedule'!O44</f>
        <v>12354.331941269997</v>
      </c>
      <c r="P64" s="83">
        <f>'Debt Schedule'!P44</f>
        <v>21002.364300158995</v>
      </c>
    </row>
    <row r="65" spans="2:16" x14ac:dyDescent="0.3">
      <c r="B65" s="2" t="s">
        <v>116</v>
      </c>
      <c r="C65" s="2">
        <v>0.71</v>
      </c>
    </row>
    <row r="66" spans="2:16" x14ac:dyDescent="0.3">
      <c r="B66" s="2" t="s">
        <v>117</v>
      </c>
      <c r="C66" s="2">
        <v>73.16</v>
      </c>
      <c r="D66" s="2">
        <v>47.78</v>
      </c>
      <c r="E66" s="2">
        <v>76.08</v>
      </c>
      <c r="F66" s="2">
        <v>74.55</v>
      </c>
      <c r="G66" s="2">
        <v>68.44</v>
      </c>
      <c r="H66" s="2">
        <v>92.93</v>
      </c>
      <c r="I66" s="2">
        <v>123.21</v>
      </c>
      <c r="J66" s="76">
        <f>I66</f>
        <v>123.21</v>
      </c>
      <c r="K66" s="76">
        <f t="shared" ref="K66:P66" si="34">J66</f>
        <v>123.21</v>
      </c>
      <c r="L66" s="76">
        <f t="shared" si="34"/>
        <v>123.21</v>
      </c>
      <c r="M66" s="76">
        <f t="shared" si="34"/>
        <v>123.21</v>
      </c>
      <c r="N66" s="76">
        <f t="shared" si="34"/>
        <v>123.21</v>
      </c>
      <c r="O66" s="76">
        <f t="shared" si="34"/>
        <v>123.21</v>
      </c>
      <c r="P66" s="76">
        <f t="shared" si="34"/>
        <v>123.21</v>
      </c>
    </row>
    <row r="67" spans="2:16" x14ac:dyDescent="0.3">
      <c r="B67" s="77" t="s">
        <v>88</v>
      </c>
      <c r="C67" s="78">
        <f>SUM(C57:C66)</f>
        <v>1851.41</v>
      </c>
      <c r="D67" s="78">
        <f>SUM(D57:D66)</f>
        <v>2578.4600000000005</v>
      </c>
      <c r="E67" s="78">
        <f>SUM(E58:E66)</f>
        <v>3614.27</v>
      </c>
      <c r="F67" s="78">
        <f>SUM(F57:F66)</f>
        <v>4147.1400000000003</v>
      </c>
      <c r="G67" s="78">
        <f>SUM(G57:G66)</f>
        <v>4134.3999999999996</v>
      </c>
      <c r="H67" s="78">
        <f>SUM(H57:H66)</f>
        <v>4084.4100000000003</v>
      </c>
      <c r="I67" s="78">
        <f>SUM(I57:I66)</f>
        <v>3618.26</v>
      </c>
      <c r="J67" s="78">
        <f>SUM(J58:J66)</f>
        <v>4089.7707596321097</v>
      </c>
      <c r="K67" s="78">
        <f>SUM(K58:K66)</f>
        <v>5014.5856240841085</v>
      </c>
      <c r="L67" s="78">
        <f>SUM(L58:L66)</f>
        <v>5889.9863959796121</v>
      </c>
      <c r="M67" s="78">
        <f>SUM(M58:M66)</f>
        <v>8403.3324743126486</v>
      </c>
      <c r="N67" s="78">
        <f t="shared" ref="N67:P67" si="35">SUM(N58:N66)</f>
        <v>11454.345130719237</v>
      </c>
      <c r="O67" s="78">
        <f t="shared" si="35"/>
        <v>17076.234912651911</v>
      </c>
      <c r="P67" s="78">
        <f t="shared" si="35"/>
        <v>25803.936639629297</v>
      </c>
    </row>
    <row r="69" spans="2:16" ht="15" thickBot="1" x14ac:dyDescent="0.35">
      <c r="B69" s="79" t="s">
        <v>89</v>
      </c>
      <c r="C69" s="80">
        <f>SUM(C44+C54+C67)</f>
        <v>6241.82</v>
      </c>
      <c r="D69" s="80">
        <f t="shared" ref="D69:M69" si="36">SUM(D44+D54+D67)</f>
        <v>7842.23</v>
      </c>
      <c r="E69" s="80">
        <f t="shared" si="36"/>
        <v>8008.7800000000007</v>
      </c>
      <c r="F69" s="80">
        <f t="shared" si="36"/>
        <v>7527.4100000000008</v>
      </c>
      <c r="G69" s="80">
        <f t="shared" si="36"/>
        <v>9352.7199999999993</v>
      </c>
      <c r="H69" s="80">
        <f t="shared" si="36"/>
        <v>9073.56</v>
      </c>
      <c r="I69" s="80">
        <f t="shared" si="36"/>
        <v>8838.5500000000011</v>
      </c>
      <c r="J69" s="80">
        <f t="shared" ca="1" si="36"/>
        <v>10677.767445802761</v>
      </c>
      <c r="K69" s="80">
        <f ca="1">SUM(K44+K54+K67)</f>
        <v>13141.981569073432</v>
      </c>
      <c r="L69" s="80">
        <f t="shared" ca="1" si="36"/>
        <v>16643.474676117439</v>
      </c>
      <c r="M69" s="80">
        <f t="shared" ca="1" si="36"/>
        <v>22239.461193175834</v>
      </c>
      <c r="N69" s="80">
        <f ca="1">SUM(N44+N54+N67)</f>
        <v>28736.184979143334</v>
      </c>
      <c r="O69" s="80">
        <f ca="1">SUM(O44+O54+O67)</f>
        <v>39267.690904035713</v>
      </c>
      <c r="P69" s="80">
        <f ca="1">SUM(P44+P54+P67)</f>
        <v>55237.736693384039</v>
      </c>
    </row>
    <row r="71" spans="2:16" x14ac:dyDescent="0.3">
      <c r="C71" s="2">
        <f>C36-C69</f>
        <v>0</v>
      </c>
      <c r="D71" s="2">
        <f t="shared" ref="D71:P71" si="37">D36-D69</f>
        <v>0</v>
      </c>
      <c r="E71" s="2">
        <f t="shared" si="37"/>
        <v>0</v>
      </c>
      <c r="F71" s="2">
        <f t="shared" si="37"/>
        <v>0</v>
      </c>
      <c r="G71" s="2">
        <f t="shared" si="37"/>
        <v>0</v>
      </c>
      <c r="H71" s="2">
        <f t="shared" si="37"/>
        <v>0</v>
      </c>
      <c r="I71" s="2">
        <f t="shared" si="37"/>
        <v>0</v>
      </c>
      <c r="J71" s="2">
        <f t="shared" ca="1" si="37"/>
        <v>1.8937527329399018E-3</v>
      </c>
      <c r="K71" s="2">
        <f t="shared" ca="1" si="37"/>
        <v>3.3550856933288742E-3</v>
      </c>
      <c r="L71" s="115">
        <f t="shared" ca="1" si="37"/>
        <v>-3.5181656858185306E-4</v>
      </c>
      <c r="M71" s="115">
        <f t="shared" ca="1" si="37"/>
        <v>-4.2403819679748267E-3</v>
      </c>
      <c r="N71" s="115">
        <f t="shared" ca="1" si="37"/>
        <v>-3.9113628699851688E-3</v>
      </c>
      <c r="O71" s="115">
        <f t="shared" ca="1" si="37"/>
        <v>-4.2599700827850029E-3</v>
      </c>
      <c r="P71" s="115">
        <f t="shared" ca="1" si="37"/>
        <v>-1.3423826021607965E-4</v>
      </c>
    </row>
  </sheetData>
  <mergeCells count="2">
    <mergeCell ref="B1:C1"/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103C-C770-40A7-BE63-43C3E36DD721}">
  <sheetPr>
    <pageSetUpPr fitToPage="1"/>
  </sheetPr>
  <dimension ref="A1:P54"/>
  <sheetViews>
    <sheetView showGridLines="0" topLeftCell="C2" zoomScale="72" zoomScaleNormal="102" workbookViewId="0">
      <selection activeCell="J28" sqref="J28"/>
    </sheetView>
  </sheetViews>
  <sheetFormatPr defaultRowHeight="14.4" x14ac:dyDescent="0.3"/>
  <cols>
    <col min="1" max="1" width="5.33203125" style="39" customWidth="1"/>
    <col min="2" max="2" width="49.33203125" style="24" bestFit="1" customWidth="1"/>
    <col min="3" max="3" width="11.44140625" style="24" customWidth="1"/>
    <col min="4" max="4" width="12.5546875" style="24" customWidth="1"/>
    <col min="5" max="5" width="11.109375" style="24" customWidth="1"/>
    <col min="6" max="6" width="10.88671875" style="24" customWidth="1"/>
    <col min="7" max="7" width="12.33203125" style="24" customWidth="1"/>
    <col min="8" max="8" width="11.5546875" style="24" customWidth="1"/>
    <col min="9" max="9" width="12.109375" style="24" customWidth="1"/>
    <col min="10" max="10" width="11.77734375" style="24" customWidth="1"/>
    <col min="11" max="11" width="12.21875" style="24" customWidth="1"/>
    <col min="12" max="12" width="11" style="24" customWidth="1"/>
    <col min="13" max="13" width="10.6640625" style="24" customWidth="1"/>
    <col min="14" max="14" width="10.88671875" style="24" customWidth="1"/>
    <col min="15" max="15" width="11.109375" style="24" customWidth="1"/>
    <col min="16" max="16" width="11" style="24" customWidth="1"/>
    <col min="17" max="17" width="10.5546875" style="24" customWidth="1"/>
    <col min="18" max="18" width="11.21875" style="24" customWidth="1"/>
    <col min="19" max="19" width="13.21875" style="24" customWidth="1"/>
    <col min="20" max="20" width="11.5546875" style="24" customWidth="1"/>
    <col min="21" max="21" width="9.77734375" style="24" bestFit="1" customWidth="1"/>
    <col min="22" max="16384" width="8.88671875" style="24"/>
  </cols>
  <sheetData>
    <row r="1" spans="1:16" ht="30" x14ac:dyDescent="0.7">
      <c r="B1" s="175" t="s">
        <v>60</v>
      </c>
      <c r="C1" s="175"/>
    </row>
    <row r="2" spans="1:16" ht="21" x14ac:dyDescent="0.5">
      <c r="B2" s="176" t="s">
        <v>0</v>
      </c>
      <c r="C2" s="176"/>
    </row>
    <row r="3" spans="1:16" x14ac:dyDescent="0.3">
      <c r="B3" s="25" t="s">
        <v>4</v>
      </c>
      <c r="E3" s="48"/>
    </row>
    <row r="4" spans="1:16" x14ac:dyDescent="0.3">
      <c r="G4" s="48"/>
    </row>
    <row r="5" spans="1:16" s="26" customFormat="1" ht="15.6" x14ac:dyDescent="0.3">
      <c r="A5" s="40"/>
      <c r="B5" s="18" t="s">
        <v>1</v>
      </c>
      <c r="C5" s="1">
        <v>2019</v>
      </c>
      <c r="D5" s="1">
        <v>2020</v>
      </c>
      <c r="E5" s="1">
        <v>2021</v>
      </c>
      <c r="F5" s="1">
        <v>2022</v>
      </c>
      <c r="G5" s="1">
        <v>2023</v>
      </c>
      <c r="H5" s="1">
        <v>2024</v>
      </c>
      <c r="I5" s="1">
        <v>2025</v>
      </c>
      <c r="J5" s="1">
        <v>2026</v>
      </c>
      <c r="K5" s="1">
        <v>2027</v>
      </c>
      <c r="L5" s="1">
        <v>2028</v>
      </c>
      <c r="M5" s="1">
        <v>2029</v>
      </c>
      <c r="N5" s="1">
        <v>2030</v>
      </c>
      <c r="O5" s="1">
        <v>2031</v>
      </c>
      <c r="P5" s="1">
        <v>2032</v>
      </c>
    </row>
    <row r="6" spans="1:16" s="26" customFormat="1" ht="15.6" x14ac:dyDescent="0.3">
      <c r="A6" s="40"/>
      <c r="B6" s="18"/>
      <c r="C6" s="19" t="s">
        <v>121</v>
      </c>
      <c r="D6" s="19" t="s">
        <v>121</v>
      </c>
      <c r="E6" s="19" t="s">
        <v>121</v>
      </c>
      <c r="F6" s="19" t="s">
        <v>121</v>
      </c>
      <c r="G6" s="19" t="s">
        <v>121</v>
      </c>
      <c r="H6" s="19" t="s">
        <v>121</v>
      </c>
      <c r="I6" s="19" t="s">
        <v>121</v>
      </c>
      <c r="J6" s="19" t="s">
        <v>122</v>
      </c>
      <c r="K6" s="19" t="s">
        <v>122</v>
      </c>
      <c r="L6" s="19" t="s">
        <v>122</v>
      </c>
      <c r="M6" s="19" t="s">
        <v>122</v>
      </c>
      <c r="N6" s="19" t="s">
        <v>122</v>
      </c>
      <c r="O6" s="19" t="s">
        <v>122</v>
      </c>
      <c r="P6" s="19" t="s">
        <v>122</v>
      </c>
    </row>
    <row r="7" spans="1:16" ht="15.6" x14ac:dyDescent="0.3">
      <c r="A7" s="39" t="s">
        <v>8</v>
      </c>
      <c r="B7" s="26" t="s">
        <v>33</v>
      </c>
      <c r="C7" s="27"/>
      <c r="D7" s="47">
        <f>D8/C8-1</f>
        <v>4.287890966021668E-2</v>
      </c>
      <c r="E7" s="47">
        <f>E8/D8-1</f>
        <v>0.12574722627335411</v>
      </c>
      <c r="F7" s="47">
        <f t="shared" ref="F7:H7" si="0">F8/E8-1</f>
        <v>8.240523975707581E-2</v>
      </c>
      <c r="G7" s="47">
        <f t="shared" si="0"/>
        <v>0.14630894815008166</v>
      </c>
      <c r="H7" s="47">
        <f t="shared" si="0"/>
        <v>3.5115014795213062E-2</v>
      </c>
      <c r="I7" s="47">
        <f t="shared" ref="I7:N7" si="1">I8/H8-1</f>
        <v>5.9760513132614657E-2</v>
      </c>
      <c r="J7" s="47">
        <f>J8/I8-1</f>
        <v>8.6167566390001227E-2</v>
      </c>
      <c r="K7" s="47">
        <f>K8/J8-1</f>
        <v>8.4667780113063085E-2</v>
      </c>
      <c r="L7" s="47">
        <f t="shared" si="1"/>
        <v>9.3134319688458422E-2</v>
      </c>
      <c r="M7" s="47">
        <f t="shared" si="1"/>
        <v>0.1024475956456683</v>
      </c>
      <c r="N7" s="47">
        <f t="shared" si="1"/>
        <v>0.11269275107346144</v>
      </c>
      <c r="O7" s="47">
        <f t="shared" ref="O7:P7" si="2">O8/N8-1</f>
        <v>0.12396166157251676</v>
      </c>
      <c r="P7" s="47">
        <f t="shared" si="2"/>
        <v>0.13635811799075404</v>
      </c>
    </row>
    <row r="8" spans="1:16" ht="15.6" x14ac:dyDescent="0.3">
      <c r="B8" s="27" t="s">
        <v>5</v>
      </c>
      <c r="C8" s="27">
        <v>10973.46</v>
      </c>
      <c r="D8" s="27">
        <v>11443.99</v>
      </c>
      <c r="E8" s="27">
        <v>12883.04</v>
      </c>
      <c r="F8" s="27">
        <v>13944.67</v>
      </c>
      <c r="G8" s="27">
        <v>15984.9</v>
      </c>
      <c r="H8" s="27">
        <v>16546.21</v>
      </c>
      <c r="I8" s="27">
        <v>17535.02</v>
      </c>
      <c r="J8" s="84">
        <f>'Revenue Schedule'!J11</f>
        <v>19045.97</v>
      </c>
      <c r="K8" s="84">
        <f>'Revenue Schedule'!K11</f>
        <v>20658.55</v>
      </c>
      <c r="L8" s="84">
        <f>'Revenue Schedule'!L11</f>
        <v>22582.57</v>
      </c>
      <c r="M8" s="84">
        <f>'Revenue Schedule'!M11</f>
        <v>24896.1</v>
      </c>
      <c r="N8" s="84">
        <f>'Revenue Schedule'!N11</f>
        <v>27701.71</v>
      </c>
      <c r="O8" s="84">
        <f>'Revenue Schedule'!O11</f>
        <v>31135.66</v>
      </c>
      <c r="P8" s="84">
        <f>'Revenue Schedule'!P11</f>
        <v>35381.26</v>
      </c>
    </row>
    <row r="9" spans="1:16" ht="15.6" x14ac:dyDescent="0.3">
      <c r="B9" s="27" t="s">
        <v>6</v>
      </c>
      <c r="C9" s="27">
        <v>81.209999999999994</v>
      </c>
      <c r="D9" s="27">
        <v>155.56</v>
      </c>
      <c r="E9" s="27">
        <v>253.1</v>
      </c>
      <c r="F9" s="27">
        <v>191.59</v>
      </c>
      <c r="G9" s="27">
        <v>315.64999999999998</v>
      </c>
      <c r="H9" s="27">
        <v>223.06</v>
      </c>
      <c r="I9" s="27">
        <v>407.65</v>
      </c>
      <c r="J9" s="84">
        <f>'Revenue Schedule'!J12</f>
        <v>277.75724791836547</v>
      </c>
      <c r="K9" s="84">
        <f>'Revenue Schedule'!K12</f>
        <v>301.27103606632954</v>
      </c>
      <c r="L9" s="84">
        <f>'Revenue Schedule'!L12</f>
        <v>329.33076756040464</v>
      </c>
      <c r="M9" s="84">
        <f>'Revenue Schedule'!M12</f>
        <v>363.07476019309252</v>
      </c>
      <c r="N9" s="84">
        <f>'Revenue Schedule'!N12</f>
        <v>403.98653290003858</v>
      </c>
      <c r="O9" s="84">
        <f>'Revenue Schedule'!O12</f>
        <v>454.07057856024039</v>
      </c>
      <c r="P9" s="84">
        <f>'Revenue Schedule'!P12</f>
        <v>515.98405256766273</v>
      </c>
    </row>
    <row r="10" spans="1:16" ht="15.6" x14ac:dyDescent="0.3">
      <c r="B10" s="26" t="s">
        <v>10</v>
      </c>
      <c r="C10" s="28">
        <f>SUM(C8:C9)</f>
        <v>11054.669999999998</v>
      </c>
      <c r="D10" s="28">
        <f t="shared" ref="D10:P10" si="3">SUM(D8:D9)</f>
        <v>11599.55</v>
      </c>
      <c r="E10" s="28">
        <f>SUM(E8:E9)</f>
        <v>13136.140000000001</v>
      </c>
      <c r="F10" s="28">
        <f t="shared" si="3"/>
        <v>14136.26</v>
      </c>
      <c r="G10" s="28">
        <f t="shared" si="3"/>
        <v>16300.55</v>
      </c>
      <c r="H10" s="28">
        <f t="shared" si="3"/>
        <v>16769.27</v>
      </c>
      <c r="I10" s="28">
        <f t="shared" si="3"/>
        <v>17942.670000000002</v>
      </c>
      <c r="J10" s="28">
        <f t="shared" si="3"/>
        <v>19323.727247918367</v>
      </c>
      <c r="K10" s="28">
        <f t="shared" si="3"/>
        <v>20959.821036066329</v>
      </c>
      <c r="L10" s="28">
        <f t="shared" si="3"/>
        <v>22911.900767560404</v>
      </c>
      <c r="M10" s="28">
        <f t="shared" si="3"/>
        <v>25259.174760193091</v>
      </c>
      <c r="N10" s="28">
        <f t="shared" si="3"/>
        <v>28105.696532900038</v>
      </c>
      <c r="O10" s="28">
        <f t="shared" si="3"/>
        <v>31589.73057856024</v>
      </c>
      <c r="P10" s="28">
        <f t="shared" si="3"/>
        <v>35897.244052567665</v>
      </c>
    </row>
    <row r="11" spans="1:16" ht="15.6" x14ac:dyDescent="0.3">
      <c r="A11" s="39" t="s">
        <v>9</v>
      </c>
      <c r="B11" s="27" t="s">
        <v>7</v>
      </c>
      <c r="C11" s="27">
        <v>206.45</v>
      </c>
      <c r="D11" s="27">
        <v>279.39999999999998</v>
      </c>
      <c r="E11" s="27">
        <v>312.87</v>
      </c>
      <c r="F11" s="27">
        <v>222.83</v>
      </c>
      <c r="G11" s="27">
        <v>215.86</v>
      </c>
      <c r="H11" s="27">
        <v>214.18</v>
      </c>
      <c r="I11" s="27">
        <v>227.09</v>
      </c>
      <c r="J11" s="27">
        <f ca="1">'Other Schedule'!J13</f>
        <v>217.37389774641827</v>
      </c>
      <c r="K11" s="27">
        <f ca="1">'Other Schedule'!K13</f>
        <v>573.46707132978383</v>
      </c>
      <c r="L11" s="27">
        <f ca="1">'Other Schedule'!L13</f>
        <v>1088.5799672270841</v>
      </c>
      <c r="M11" s="27">
        <f ca="1">'Other Schedule'!M13</f>
        <v>1846.3069208113786</v>
      </c>
      <c r="N11" s="27">
        <f ca="1">'Other Schedule'!N13</f>
        <v>2840.0587024258211</v>
      </c>
      <c r="O11" s="27">
        <f ca="1">'Other Schedule'!O13</f>
        <v>4267.4362197765704</v>
      </c>
      <c r="P11" s="27">
        <f ca="1">'Other Schedule'!P13</f>
        <v>6506.7114386266458</v>
      </c>
    </row>
    <row r="12" spans="1:16" ht="15.6" x14ac:dyDescent="0.3">
      <c r="A12" s="39" t="s">
        <v>12</v>
      </c>
      <c r="B12" s="29" t="s">
        <v>11</v>
      </c>
      <c r="C12" s="29">
        <f>SUM(C10:C11)</f>
        <v>11261.119999999999</v>
      </c>
      <c r="D12" s="29">
        <f t="shared" ref="D12:P12" si="4">SUM(D10:D11)</f>
        <v>11878.949999999999</v>
      </c>
      <c r="E12" s="29">
        <f t="shared" si="4"/>
        <v>13449.010000000002</v>
      </c>
      <c r="F12" s="29">
        <f t="shared" si="4"/>
        <v>14359.09</v>
      </c>
      <c r="G12" s="29">
        <f t="shared" si="4"/>
        <v>16516.41</v>
      </c>
      <c r="H12" s="29">
        <f t="shared" si="4"/>
        <v>16983.45</v>
      </c>
      <c r="I12" s="29">
        <f t="shared" si="4"/>
        <v>18169.760000000002</v>
      </c>
      <c r="J12" s="29">
        <f ca="1">SUM(J10:J11)</f>
        <v>19541.101145664787</v>
      </c>
      <c r="K12" s="29">
        <f t="shared" ca="1" si="4"/>
        <v>21533.288107396114</v>
      </c>
      <c r="L12" s="29">
        <f t="shared" ca="1" si="4"/>
        <v>24000.480734787488</v>
      </c>
      <c r="M12" s="29">
        <f t="shared" ca="1" si="4"/>
        <v>27105.481681004469</v>
      </c>
      <c r="N12" s="29">
        <f t="shared" ca="1" si="4"/>
        <v>30945.755235325858</v>
      </c>
      <c r="O12" s="29">
        <f t="shared" ca="1" si="4"/>
        <v>35857.16679833681</v>
      </c>
      <c r="P12" s="29">
        <f t="shared" ca="1" si="4"/>
        <v>42403.955491194312</v>
      </c>
    </row>
    <row r="13" spans="1:16" ht="15.6" x14ac:dyDescent="0.3">
      <c r="A13" s="39" t="s">
        <v>13</v>
      </c>
      <c r="B13" s="26" t="s">
        <v>32</v>
      </c>
      <c r="C13" s="27"/>
      <c r="D13" s="27"/>
      <c r="E13" s="27"/>
      <c r="F13" s="27"/>
      <c r="G13" s="27"/>
      <c r="H13" s="27"/>
      <c r="I13" s="27"/>
      <c r="J13" s="84"/>
      <c r="K13" s="84"/>
      <c r="L13" s="84"/>
      <c r="M13" s="84"/>
      <c r="N13" s="84"/>
      <c r="O13" s="84"/>
      <c r="P13" s="84"/>
    </row>
    <row r="14" spans="1:16" ht="15.6" x14ac:dyDescent="0.3">
      <c r="B14" s="27" t="s">
        <v>2</v>
      </c>
      <c r="C14" s="27">
        <v>5513.01</v>
      </c>
      <c r="D14" s="27">
        <v>5901.16</v>
      </c>
      <c r="E14" s="27">
        <v>6502.33</v>
      </c>
      <c r="F14" s="27">
        <v>7473.97</v>
      </c>
      <c r="G14" s="27">
        <v>8326.7000000000007</v>
      </c>
      <c r="H14" s="27">
        <v>8546.89</v>
      </c>
      <c r="I14" s="27">
        <v>9859.4500000000007</v>
      </c>
      <c r="J14" s="84">
        <f>'Cost Schedule '!J10</f>
        <v>9791.2203050055505</v>
      </c>
      <c r="K14" s="84">
        <f>'Cost Schedule '!K10</f>
        <v>10952.21252278357</v>
      </c>
      <c r="L14" s="84">
        <f>'Cost Schedule '!L10</f>
        <v>11373.62794136849</v>
      </c>
      <c r="M14" s="84">
        <f>'Cost Schedule '!M10</f>
        <v>12978.790172887069</v>
      </c>
      <c r="N14" s="84">
        <f>'Cost Schedule '!N10</f>
        <v>15175.712284605057</v>
      </c>
      <c r="O14" s="84">
        <f>'Cost Schedule '!O10</f>
        <v>16781.809965958488</v>
      </c>
      <c r="P14" s="84">
        <f>'Cost Schedule '!P10</f>
        <v>18444.893895640176</v>
      </c>
    </row>
    <row r="15" spans="1:16" ht="15.6" x14ac:dyDescent="0.3">
      <c r="B15" s="27" t="s">
        <v>3</v>
      </c>
      <c r="C15" s="27">
        <v>1103.6300000000001</v>
      </c>
      <c r="D15" s="27">
        <v>973.74</v>
      </c>
      <c r="E15" s="27">
        <v>1160.8900000000001</v>
      </c>
      <c r="F15" s="27">
        <v>1361.59</v>
      </c>
      <c r="G15" s="27">
        <v>1337.13</v>
      </c>
      <c r="H15" s="27">
        <v>941.48</v>
      </c>
      <c r="I15" s="27">
        <v>809.35</v>
      </c>
      <c r="J15" s="84">
        <f>'Cost Schedule '!J11</f>
        <v>1495.8294937501294</v>
      </c>
      <c r="K15" s="84">
        <f>'Cost Schedule '!K11</f>
        <v>1673.1972116921829</v>
      </c>
      <c r="L15" s="84">
        <f>'Cost Schedule '!L11</f>
        <v>1737.5779111968318</v>
      </c>
      <c r="M15" s="84">
        <f>'Cost Schedule '!M11</f>
        <v>1982.802605705215</v>
      </c>
      <c r="N15" s="84">
        <f>'Cost Schedule '!N11</f>
        <v>2318.4319540204165</v>
      </c>
      <c r="O15" s="84">
        <f>'Cost Schedule '!O11</f>
        <v>2563.7995595663729</v>
      </c>
      <c r="P15" s="84">
        <f>'Cost Schedule '!P11</f>
        <v>2817.8730984211729</v>
      </c>
    </row>
    <row r="16" spans="1:16" ht="31.2" x14ac:dyDescent="0.3">
      <c r="B16" s="30" t="s">
        <v>14</v>
      </c>
      <c r="C16" s="27">
        <v>-55.18</v>
      </c>
      <c r="D16" s="27">
        <v>52.57</v>
      </c>
      <c r="E16" s="27">
        <v>-37.119999999999997</v>
      </c>
      <c r="F16" s="27">
        <v>-75.260000000000005</v>
      </c>
      <c r="G16" s="27">
        <v>-72.53</v>
      </c>
      <c r="H16" s="27">
        <v>3.66</v>
      </c>
      <c r="I16" s="27">
        <v>-64.75</v>
      </c>
      <c r="J16" s="26">
        <f>'Cost Schedule '!J12</f>
        <v>-44.268038045835006</v>
      </c>
      <c r="K16" s="26">
        <f>'Cost Schedule '!K12</f>
        <v>-49.517112835954997</v>
      </c>
      <c r="L16" s="26">
        <f>'Cost Schedule '!L12</f>
        <v>-51.422415055891939</v>
      </c>
      <c r="M16" s="26">
        <f>'Cost Schedule '!M12</f>
        <v>-58.679670078360928</v>
      </c>
      <c r="N16" s="26">
        <f>'Cost Schedule '!N12</f>
        <v>-68.612388227451021</v>
      </c>
      <c r="O16" s="26">
        <f>'Cost Schedule '!O12</f>
        <v>-75.873872603114933</v>
      </c>
      <c r="P16" s="26">
        <f>'Cost Schedule '!P12</f>
        <v>-83.393003046429371</v>
      </c>
    </row>
    <row r="17" spans="1:16" ht="15.6" x14ac:dyDescent="0.3">
      <c r="A17" s="39" t="s">
        <v>21</v>
      </c>
      <c r="B17" s="31" t="s">
        <v>15</v>
      </c>
      <c r="C17" s="31">
        <f>SUM(C14:C16)</f>
        <v>6561.46</v>
      </c>
      <c r="D17" s="31">
        <f>SUM(D14:D16)</f>
        <v>6927.4699999999993</v>
      </c>
      <c r="E17" s="31">
        <f t="shared" ref="E17:I17" si="5">SUM(E14:E16)</f>
        <v>7626.1</v>
      </c>
      <c r="F17" s="31">
        <f t="shared" si="5"/>
        <v>8760.2999999999993</v>
      </c>
      <c r="G17" s="31">
        <f t="shared" si="5"/>
        <v>9591.3000000000011</v>
      </c>
      <c r="H17" s="31">
        <f t="shared" si="5"/>
        <v>9492.0299999999988</v>
      </c>
      <c r="I17" s="31">
        <f t="shared" si="5"/>
        <v>10604.050000000001</v>
      </c>
      <c r="J17" s="31">
        <f>SUM(J14:J16)</f>
        <v>11242.781760709844</v>
      </c>
      <c r="K17" s="31">
        <f t="shared" ref="K17:P17" si="6">SUM(K14:K16)</f>
        <v>12575.892621639798</v>
      </c>
      <c r="L17" s="31">
        <f t="shared" si="6"/>
        <v>13059.78343750943</v>
      </c>
      <c r="M17" s="31">
        <f t="shared" si="6"/>
        <v>14902.913108513923</v>
      </c>
      <c r="N17" s="31">
        <f t="shared" si="6"/>
        <v>17425.531850398023</v>
      </c>
      <c r="O17" s="31">
        <f t="shared" si="6"/>
        <v>19269.735652921747</v>
      </c>
      <c r="P17" s="31">
        <f t="shared" si="6"/>
        <v>21179.37399101492</v>
      </c>
    </row>
    <row r="18" spans="1:16" ht="15.6" x14ac:dyDescent="0.3">
      <c r="B18" s="27" t="s">
        <v>49</v>
      </c>
      <c r="C18" s="27">
        <v>441.82</v>
      </c>
      <c r="D18" s="27">
        <v>486.69</v>
      </c>
      <c r="E18" s="27">
        <v>527.38</v>
      </c>
      <c r="F18" s="27">
        <v>542.26</v>
      </c>
      <c r="G18" s="27">
        <v>658.38</v>
      </c>
      <c r="H18" s="27">
        <v>708.7</v>
      </c>
      <c r="I18" s="27">
        <v>704.59</v>
      </c>
      <c r="J18" s="84">
        <f>'Cost Schedule '!J24</f>
        <v>774.30342217906389</v>
      </c>
      <c r="K18" s="84">
        <f>'Cost Schedule '!K24</f>
        <v>839.86184177978259</v>
      </c>
      <c r="L18" s="84">
        <f>'Cost Schedule '!L24</f>
        <v>918.08184546075347</v>
      </c>
      <c r="M18" s="84">
        <f>'Cost Schedule '!M24</f>
        <v>1012.1373173668369</v>
      </c>
      <c r="N18" s="84">
        <f>'Cost Schedule '!N24</f>
        <v>1126.1976910016197</v>
      </c>
      <c r="O18" s="84">
        <f>'Cost Schedule '!O24</f>
        <v>1265.8032365535873</v>
      </c>
      <c r="P18" s="84">
        <f>'Cost Schedule '!P24</f>
        <v>1438.4056740241158</v>
      </c>
    </row>
    <row r="19" spans="1:16" ht="15.6" x14ac:dyDescent="0.3">
      <c r="B19" s="27" t="s">
        <v>16</v>
      </c>
      <c r="C19" s="27">
        <v>9.09</v>
      </c>
      <c r="D19" s="27">
        <v>76.900000000000006</v>
      </c>
      <c r="E19" s="27">
        <v>110.9</v>
      </c>
      <c r="F19" s="27">
        <v>144.29</v>
      </c>
      <c r="G19" s="27">
        <v>169.1</v>
      </c>
      <c r="H19" s="27">
        <v>164</v>
      </c>
      <c r="I19" s="27">
        <v>138.80000000000001</v>
      </c>
      <c r="J19" s="84">
        <f>'Debt Schedule'!J30</f>
        <v>124.53594968327214</v>
      </c>
      <c r="K19" s="84">
        <f>'Debt Schedule'!K30</f>
        <v>187.74970197175045</v>
      </c>
      <c r="L19" s="84">
        <f>'Debt Schedule'!L30</f>
        <v>279.9530268269317</v>
      </c>
      <c r="M19" s="84">
        <f>'Debt Schedule'!M30</f>
        <v>420.59916864789676</v>
      </c>
      <c r="N19" s="84">
        <f>'Debt Schedule'!N30</f>
        <v>642.57452636469134</v>
      </c>
      <c r="O19" s="84">
        <f>'Debt Schedule'!O30</f>
        <v>1001.5613297085015</v>
      </c>
      <c r="P19" s="84">
        <f>'Debt Schedule'!P30</f>
        <v>1591.9431910641995</v>
      </c>
    </row>
    <row r="20" spans="1:16" ht="15.6" x14ac:dyDescent="0.3">
      <c r="B20" s="27" t="s">
        <v>17</v>
      </c>
      <c r="C20" s="27">
        <v>161.88</v>
      </c>
      <c r="D20" s="27">
        <v>184.81</v>
      </c>
      <c r="E20" s="27">
        <v>197.85</v>
      </c>
      <c r="F20" s="27">
        <v>200.54</v>
      </c>
      <c r="G20" s="27">
        <v>225.91</v>
      </c>
      <c r="H20" s="27">
        <v>300.45999999999998</v>
      </c>
      <c r="I20" s="27">
        <v>313.33999999999997</v>
      </c>
      <c r="J20" s="85">
        <f>'Asset Schedule'!J27</f>
        <v>-281.33106776994117</v>
      </c>
      <c r="K20" s="85">
        <f>'Asset Schedule'!K27</f>
        <v>-273.68574635548083</v>
      </c>
      <c r="L20" s="85">
        <f>'Asset Schedule'!L27</f>
        <v>-271.1068352036844</v>
      </c>
      <c r="M20" s="85">
        <f>'Asset Schedule'!M27</f>
        <v>-274.63999371534027</v>
      </c>
      <c r="N20" s="85">
        <f>'Asset Schedule'!N27</f>
        <v>-285.11669290909418</v>
      </c>
      <c r="O20" s="85">
        <f>'Asset Schedule'!O27</f>
        <v>-302.69535155317465</v>
      </c>
      <c r="P20" s="85">
        <f>'Asset Schedule'!P27</f>
        <v>-328.7986415152904</v>
      </c>
    </row>
    <row r="21" spans="1:16" ht="15.6" x14ac:dyDescent="0.3">
      <c r="B21" s="27" t="s">
        <v>19</v>
      </c>
      <c r="C21" s="27">
        <v>2317.9699999999998</v>
      </c>
      <c r="D21" s="27">
        <v>2342.21</v>
      </c>
      <c r="E21" s="27">
        <v>2473.37</v>
      </c>
      <c r="F21" s="27">
        <v>2632.19</v>
      </c>
      <c r="G21" s="27">
        <v>3219.96</v>
      </c>
      <c r="H21" s="27">
        <v>3398.7</v>
      </c>
      <c r="I21" s="27">
        <v>3446.88</v>
      </c>
      <c r="J21" s="84">
        <f>'Cost Schedule '!J28</f>
        <v>3760.965819493139</v>
      </c>
      <c r="K21" s="84">
        <f>'Cost Schedule '!K28</f>
        <v>4079.3978039526792</v>
      </c>
      <c r="L21" s="84">
        <f>'Cost Schedule '!L28</f>
        <v>4459.3299491792395</v>
      </c>
      <c r="M21" s="84">
        <f>'Cost Schedule '!M28</f>
        <v>4916.1785240952258</v>
      </c>
      <c r="N21" s="84">
        <f>'Cost Schedule '!N28</f>
        <v>5470.19540470231</v>
      </c>
      <c r="O21" s="84">
        <f>'Cost Schedule '!O28</f>
        <v>6148.2909290059852</v>
      </c>
      <c r="P21" s="84">
        <f>'Cost Schedule '!P28</f>
        <v>6986.6597765321912</v>
      </c>
    </row>
    <row r="22" spans="1:16" ht="15.6" x14ac:dyDescent="0.3">
      <c r="A22" s="39" t="s">
        <v>22</v>
      </c>
      <c r="B22" s="26" t="s">
        <v>20</v>
      </c>
      <c r="C22" s="28">
        <f>SUM(C17:C21)</f>
        <v>9492.2199999999993</v>
      </c>
      <c r="D22" s="28">
        <f>SUM(D17:D21)</f>
        <v>10018.079999999998</v>
      </c>
      <c r="E22" s="28">
        <f t="shared" ref="E22:P22" si="7">SUM(E17:E21)</f>
        <v>10935.600000000002</v>
      </c>
      <c r="F22" s="28">
        <f t="shared" si="7"/>
        <v>12279.580000000002</v>
      </c>
      <c r="G22" s="28">
        <f t="shared" si="7"/>
        <v>13864.650000000001</v>
      </c>
      <c r="H22" s="28">
        <f t="shared" si="7"/>
        <v>14063.89</v>
      </c>
      <c r="I22" s="28">
        <f t="shared" si="7"/>
        <v>15207.66</v>
      </c>
      <c r="J22" s="28">
        <f>SUM(J17:J21)</f>
        <v>15621.255884295377</v>
      </c>
      <c r="K22" s="28">
        <f t="shared" si="7"/>
        <v>17409.216222988529</v>
      </c>
      <c r="L22" s="28">
        <f t="shared" si="7"/>
        <v>18446.041423772673</v>
      </c>
      <c r="M22" s="28">
        <f t="shared" si="7"/>
        <v>20977.188124908542</v>
      </c>
      <c r="N22" s="28">
        <f t="shared" si="7"/>
        <v>24379.382779557553</v>
      </c>
      <c r="O22" s="28">
        <f t="shared" si="7"/>
        <v>27382.695796636646</v>
      </c>
      <c r="P22" s="28">
        <f t="shared" si="7"/>
        <v>30867.583991120133</v>
      </c>
    </row>
    <row r="23" spans="1:16" ht="15.6" x14ac:dyDescent="0.3">
      <c r="A23" s="39" t="s">
        <v>24</v>
      </c>
      <c r="B23" s="27" t="s">
        <v>26</v>
      </c>
      <c r="C23" s="27">
        <f t="shared" ref="C23:P23" si="8">C12-C22</f>
        <v>1768.8999999999996</v>
      </c>
      <c r="D23" s="27">
        <f t="shared" si="8"/>
        <v>1860.8700000000008</v>
      </c>
      <c r="E23" s="27">
        <f t="shared" si="8"/>
        <v>2513.41</v>
      </c>
      <c r="F23" s="27">
        <f t="shared" si="8"/>
        <v>2079.5099999999984</v>
      </c>
      <c r="G23" s="27">
        <f t="shared" si="8"/>
        <v>2651.7599999999984</v>
      </c>
      <c r="H23" s="27">
        <f t="shared" si="8"/>
        <v>2919.5600000000013</v>
      </c>
      <c r="I23" s="27">
        <f t="shared" si="8"/>
        <v>2962.1000000000022</v>
      </c>
      <c r="J23" s="84">
        <f ca="1">J12-J22</f>
        <v>3919.8452613694099</v>
      </c>
      <c r="K23" s="84">
        <f t="shared" ca="1" si="8"/>
        <v>4124.0718844075855</v>
      </c>
      <c r="L23" s="84">
        <f t="shared" ca="1" si="8"/>
        <v>5554.4393110148158</v>
      </c>
      <c r="M23" s="84">
        <f t="shared" ca="1" si="8"/>
        <v>6128.2935560959268</v>
      </c>
      <c r="N23" s="84">
        <f t="shared" ca="1" si="8"/>
        <v>6566.3724557683054</v>
      </c>
      <c r="O23" s="84">
        <f t="shared" ca="1" si="8"/>
        <v>8474.4710017001635</v>
      </c>
      <c r="P23" s="84">
        <f t="shared" ca="1" si="8"/>
        <v>11536.371500074179</v>
      </c>
    </row>
    <row r="24" spans="1:16" ht="15.6" x14ac:dyDescent="0.3">
      <c r="B24" s="27" t="s">
        <v>23</v>
      </c>
      <c r="C24" s="27">
        <v>-0.97</v>
      </c>
      <c r="D24" s="27">
        <v>0.44</v>
      </c>
      <c r="E24" s="27">
        <v>0.81</v>
      </c>
      <c r="F24" s="27">
        <v>-0.2</v>
      </c>
      <c r="G24" s="27">
        <v>5.41</v>
      </c>
      <c r="H24" s="27">
        <v>-3.19</v>
      </c>
      <c r="I24" s="27">
        <v>-10.74</v>
      </c>
      <c r="J24" s="27"/>
      <c r="K24" s="27"/>
      <c r="L24" s="27"/>
      <c r="M24" s="27"/>
      <c r="N24" s="27"/>
      <c r="O24" s="27"/>
      <c r="P24" s="27"/>
    </row>
    <row r="25" spans="1:16" ht="15.6" x14ac:dyDescent="0.3">
      <c r="A25" s="39" t="s">
        <v>25</v>
      </c>
      <c r="B25" s="27" t="s">
        <v>27</v>
      </c>
      <c r="C25" s="27">
        <f>SUM(C23:C24)</f>
        <v>1767.9299999999996</v>
      </c>
      <c r="D25" s="27">
        <f>SUM(D23:D24)</f>
        <v>1861.3100000000009</v>
      </c>
      <c r="E25" s="27">
        <f>SUM(E23:E24)</f>
        <v>2514.2199999999998</v>
      </c>
      <c r="F25" s="27">
        <f t="shared" ref="F25:P25" si="9">SUM(F23:F24)</f>
        <v>2079.3099999999986</v>
      </c>
      <c r="G25" s="27">
        <f t="shared" si="9"/>
        <v>2657.1699999999983</v>
      </c>
      <c r="H25" s="27">
        <f t="shared" si="9"/>
        <v>2916.3700000000013</v>
      </c>
      <c r="I25" s="27">
        <f t="shared" si="9"/>
        <v>2951.3600000000024</v>
      </c>
      <c r="J25" s="84">
        <f ca="1">SUM(J23:J24)</f>
        <v>3919.8452613694099</v>
      </c>
      <c r="K25" s="84">
        <f t="shared" ca="1" si="9"/>
        <v>4124.0718844075855</v>
      </c>
      <c r="L25" s="84">
        <f t="shared" ca="1" si="9"/>
        <v>5554.4393110148158</v>
      </c>
      <c r="M25" s="84">
        <f t="shared" ca="1" si="9"/>
        <v>6128.2935560959268</v>
      </c>
      <c r="N25" s="84">
        <f t="shared" ca="1" si="9"/>
        <v>6566.3724557683054</v>
      </c>
      <c r="O25" s="84">
        <f t="shared" ca="1" si="9"/>
        <v>8474.4710017001635</v>
      </c>
      <c r="P25" s="84">
        <f t="shared" ca="1" si="9"/>
        <v>11536.371500074179</v>
      </c>
    </row>
    <row r="26" spans="1:16" ht="15.6" x14ac:dyDescent="0.3">
      <c r="A26" s="39" t="s">
        <v>29</v>
      </c>
      <c r="B26" s="27" t="s">
        <v>28</v>
      </c>
      <c r="C26" s="27">
        <v>0</v>
      </c>
      <c r="D26" s="27">
        <v>17.010000000000002</v>
      </c>
      <c r="E26" s="27">
        <v>0.61</v>
      </c>
      <c r="F26" s="27">
        <v>0.98</v>
      </c>
      <c r="G26" s="27">
        <v>-375.6</v>
      </c>
      <c r="H26" s="27">
        <v>2.9</v>
      </c>
      <c r="I26" s="27">
        <v>24.79</v>
      </c>
      <c r="J26" s="27"/>
      <c r="K26" s="27"/>
      <c r="L26" s="27"/>
      <c r="M26" s="27"/>
      <c r="N26" s="27"/>
      <c r="O26" s="27"/>
      <c r="P26" s="27"/>
    </row>
    <row r="27" spans="1:16" ht="15.6" x14ac:dyDescent="0.3">
      <c r="A27" s="39" t="s">
        <v>18</v>
      </c>
      <c r="B27" s="29" t="s">
        <v>30</v>
      </c>
      <c r="C27" s="29">
        <f>C25-C26</f>
        <v>1767.9299999999996</v>
      </c>
      <c r="D27" s="29">
        <f>D25-D26</f>
        <v>1844.3000000000009</v>
      </c>
      <c r="E27" s="29">
        <f t="shared" ref="E27:P27" si="10">E25-E26</f>
        <v>2513.6099999999997</v>
      </c>
      <c r="F27" s="29">
        <f t="shared" si="10"/>
        <v>2078.3299999999986</v>
      </c>
      <c r="G27" s="29">
        <f t="shared" si="10"/>
        <v>3032.7699999999982</v>
      </c>
      <c r="H27" s="29">
        <f t="shared" si="10"/>
        <v>2913.4700000000012</v>
      </c>
      <c r="I27" s="29">
        <f t="shared" si="10"/>
        <v>2926.5700000000024</v>
      </c>
      <c r="J27" s="29">
        <f ca="1">J25-J26</f>
        <v>3919.8452613694099</v>
      </c>
      <c r="K27" s="29">
        <f t="shared" ca="1" si="10"/>
        <v>4124.0718844075855</v>
      </c>
      <c r="L27" s="29">
        <f t="shared" ca="1" si="10"/>
        <v>5554.4393110148158</v>
      </c>
      <c r="M27" s="29">
        <f t="shared" ca="1" si="10"/>
        <v>6128.2935560959268</v>
      </c>
      <c r="N27" s="29">
        <f t="shared" ca="1" si="10"/>
        <v>6566.3724557683054</v>
      </c>
      <c r="O27" s="29">
        <f t="shared" ca="1" si="10"/>
        <v>8474.4710017001635</v>
      </c>
      <c r="P27" s="29">
        <f t="shared" ca="1" si="10"/>
        <v>11536.371500074179</v>
      </c>
    </row>
    <row r="28" spans="1:16" ht="15.6" x14ac:dyDescent="0.3">
      <c r="A28" s="39" t="s">
        <v>31</v>
      </c>
      <c r="B28" s="26" t="s">
        <v>34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ht="15.6" x14ac:dyDescent="0.3">
      <c r="B29" s="27" t="s">
        <v>35</v>
      </c>
      <c r="C29" s="27">
        <v>599.78</v>
      </c>
      <c r="D29" s="27">
        <v>447.69</v>
      </c>
      <c r="E29" s="27">
        <v>657.12</v>
      </c>
      <c r="F29" s="27">
        <v>612.24</v>
      </c>
      <c r="G29" s="27">
        <v>720.97</v>
      </c>
      <c r="H29" s="27">
        <v>765.69</v>
      </c>
      <c r="I29" s="27">
        <v>741.68</v>
      </c>
      <c r="J29" s="84">
        <f ca="1">'Cost Schedule '!J36</f>
        <v>1026.6887036003475</v>
      </c>
      <c r="K29" s="84">
        <f ca="1">'Cost Schedule '!K36</f>
        <v>1080.1798882943294</v>
      </c>
      <c r="L29" s="84">
        <f ca="1">'Cost Schedule '!L36</f>
        <v>1454.8227583505081</v>
      </c>
      <c r="M29" s="84">
        <f ca="1">'Cost Schedule '!M36</f>
        <v>1605.1270769276291</v>
      </c>
      <c r="N29" s="84">
        <f ca="1">'Cost Schedule '!N36</f>
        <v>1719.8690189149445</v>
      </c>
      <c r="O29" s="84">
        <f ca="1">'Cost Schedule '!O36</f>
        <v>2219.6395689851011</v>
      </c>
      <c r="P29" s="84">
        <f ca="1">'Cost Schedule '!P36</f>
        <v>3021.6147602534006</v>
      </c>
    </row>
    <row r="30" spans="1:16" ht="15.6" x14ac:dyDescent="0.3">
      <c r="B30" s="27" t="s">
        <v>36</v>
      </c>
      <c r="C30" s="27">
        <v>12.69</v>
      </c>
      <c r="D30" s="27">
        <v>3.01</v>
      </c>
      <c r="E30" s="27">
        <v>5.9</v>
      </c>
      <c r="F30" s="27">
        <v>-49.89</v>
      </c>
      <c r="G30" s="27">
        <v>-4.5199999999999996</v>
      </c>
      <c r="H30" s="27">
        <v>13.56</v>
      </c>
      <c r="I30" s="27">
        <v>7.03</v>
      </c>
      <c r="J30" s="84">
        <f ca="1">'Cost Schedule '!J37</f>
        <v>-17.220280710730925</v>
      </c>
      <c r="K30" s="26">
        <f ca="1">'Cost Schedule '!K37</f>
        <v>-18.117469130891521</v>
      </c>
      <c r="L30" s="26">
        <f ca="1">'Cost Schedule '!L37</f>
        <v>-24.40121937185317</v>
      </c>
      <c r="M30" s="26">
        <f ca="1">'Cost Schedule '!M37</f>
        <v>-26.922219699271476</v>
      </c>
      <c r="N30" s="26">
        <f ca="1">'Cost Schedule '!N37</f>
        <v>-28.846745062594373</v>
      </c>
      <c r="O30" s="26">
        <f ca="1">'Cost Schedule '!O37</f>
        <v>-37.229216918946442</v>
      </c>
      <c r="P30" s="26">
        <f ca="1">'Cost Schedule '!P37</f>
        <v>-50.680458632479571</v>
      </c>
    </row>
    <row r="31" spans="1:16" ht="15.6" x14ac:dyDescent="0.3">
      <c r="B31" s="26" t="s">
        <v>37</v>
      </c>
      <c r="C31" s="28">
        <f>SUM(C29:C30)</f>
        <v>612.47</v>
      </c>
      <c r="D31" s="28">
        <f t="shared" ref="D31:H31" si="11">SUM(D29:D30)</f>
        <v>450.7</v>
      </c>
      <c r="E31" s="28">
        <f t="shared" si="11"/>
        <v>663.02</v>
      </c>
      <c r="F31" s="28">
        <f t="shared" si="11"/>
        <v>562.35</v>
      </c>
      <c r="G31" s="28">
        <f t="shared" si="11"/>
        <v>716.45</v>
      </c>
      <c r="H31" s="28">
        <f t="shared" si="11"/>
        <v>779.25</v>
      </c>
      <c r="I31" s="28">
        <f>SUM(I29:I30)</f>
        <v>748.70999999999992</v>
      </c>
      <c r="J31" s="28">
        <f ca="1">SUM(J29:J30)</f>
        <v>1009.4684228896166</v>
      </c>
      <c r="K31" s="28">
        <f ca="1">SUM(K29:K30)</f>
        <v>1062.0624191634379</v>
      </c>
      <c r="L31" s="28">
        <f t="shared" ref="L31:P31" ca="1" si="12">SUM(L29:L30)</f>
        <v>1430.421538978655</v>
      </c>
      <c r="M31" s="28">
        <f t="shared" ca="1" si="12"/>
        <v>1578.2048572283577</v>
      </c>
      <c r="N31" s="28">
        <f t="shared" ca="1" si="12"/>
        <v>1691.0222738523501</v>
      </c>
      <c r="O31" s="28">
        <f t="shared" ca="1" si="12"/>
        <v>2182.4103520661547</v>
      </c>
      <c r="P31" s="28">
        <f t="shared" ca="1" si="12"/>
        <v>2970.9343016209209</v>
      </c>
    </row>
    <row r="32" spans="1:16" ht="15.6" x14ac:dyDescent="0.3">
      <c r="A32" s="39" t="s">
        <v>38</v>
      </c>
      <c r="B32" s="32" t="s">
        <v>39</v>
      </c>
      <c r="C32" s="32">
        <f>C27-C31</f>
        <v>1155.4599999999996</v>
      </c>
      <c r="D32" s="32">
        <f t="shared" ref="D32:P32" si="13">D27-D31</f>
        <v>1393.6000000000008</v>
      </c>
      <c r="E32" s="32">
        <f t="shared" si="13"/>
        <v>1850.5899999999997</v>
      </c>
      <c r="F32" s="32">
        <f t="shared" si="13"/>
        <v>1515.9799999999987</v>
      </c>
      <c r="G32" s="32">
        <f t="shared" si="13"/>
        <v>2316.3199999999979</v>
      </c>
      <c r="H32" s="32">
        <f t="shared" si="13"/>
        <v>2134.2200000000012</v>
      </c>
      <c r="I32" s="32">
        <f t="shared" si="13"/>
        <v>2177.8600000000024</v>
      </c>
      <c r="J32" s="32">
        <f ca="1">J27-J31</f>
        <v>2910.3768384797932</v>
      </c>
      <c r="K32" s="32">
        <f t="shared" ca="1" si="13"/>
        <v>3062.0094652441476</v>
      </c>
      <c r="L32" s="32">
        <f t="shared" ca="1" si="13"/>
        <v>4124.0177720361607</v>
      </c>
      <c r="M32" s="32">
        <f t="shared" ca="1" si="13"/>
        <v>4550.0886988675693</v>
      </c>
      <c r="N32" s="32">
        <f t="shared" ca="1" si="13"/>
        <v>4875.3501819159555</v>
      </c>
      <c r="O32" s="32">
        <f t="shared" ca="1" si="13"/>
        <v>6292.0606496340088</v>
      </c>
      <c r="P32" s="32">
        <f t="shared" ca="1" si="13"/>
        <v>8565.437198453259</v>
      </c>
    </row>
    <row r="33" spans="1:16" ht="15.6" x14ac:dyDescent="0.3">
      <c r="A33" s="39" t="s">
        <v>40</v>
      </c>
      <c r="B33" s="26" t="s">
        <v>41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ht="15.6" x14ac:dyDescent="0.3">
      <c r="A34" s="41"/>
      <c r="B34" s="27" t="s">
        <v>42</v>
      </c>
      <c r="C34" s="27">
        <v>-4.09</v>
      </c>
      <c r="D34" s="27">
        <v>-6.5</v>
      </c>
      <c r="E34" s="27">
        <v>3.5</v>
      </c>
      <c r="F34" s="27">
        <v>0.17</v>
      </c>
      <c r="G34" s="27">
        <v>-0.16</v>
      </c>
      <c r="H34" s="27">
        <v>-2.39</v>
      </c>
      <c r="I34" s="27">
        <v>-1.92</v>
      </c>
      <c r="J34" s="62"/>
      <c r="K34" s="62"/>
      <c r="L34" s="62"/>
      <c r="M34" s="62"/>
      <c r="N34" s="62"/>
      <c r="O34" s="62"/>
      <c r="P34" s="62"/>
    </row>
    <row r="35" spans="1:16" ht="31.2" x14ac:dyDescent="0.3">
      <c r="B35" s="30" t="s">
        <v>43</v>
      </c>
      <c r="C35" s="27">
        <v>1.43</v>
      </c>
      <c r="D35" s="27">
        <v>1.57</v>
      </c>
      <c r="E35" s="27">
        <v>-0.92</v>
      </c>
      <c r="F35" s="27">
        <v>-0.05</v>
      </c>
      <c r="G35" s="27">
        <v>0.04</v>
      </c>
      <c r="H35" s="27">
        <v>0.64</v>
      </c>
      <c r="I35" s="27">
        <v>0.5</v>
      </c>
      <c r="J35" s="27"/>
      <c r="K35" s="27"/>
      <c r="L35" s="27"/>
      <c r="M35" s="27"/>
      <c r="N35" s="27"/>
      <c r="O35" s="27"/>
      <c r="P35" s="27"/>
    </row>
    <row r="36" spans="1:16" ht="15.6" x14ac:dyDescent="0.3">
      <c r="B36" s="27" t="s">
        <v>44</v>
      </c>
      <c r="C36" s="27">
        <v>6.5</v>
      </c>
      <c r="D36" s="27">
        <v>10.050000000000001</v>
      </c>
      <c r="E36" s="27">
        <v>-4.08</v>
      </c>
      <c r="F36" s="27">
        <v>6.17</v>
      </c>
      <c r="G36" s="27">
        <v>15.43</v>
      </c>
      <c r="H36" s="27">
        <v>2.87</v>
      </c>
      <c r="I36" s="27">
        <v>7.68</v>
      </c>
      <c r="J36" s="27"/>
      <c r="K36" s="27"/>
      <c r="L36" s="27"/>
      <c r="M36" s="27"/>
      <c r="N36" s="27"/>
      <c r="O36" s="27"/>
      <c r="P36" s="27"/>
    </row>
    <row r="37" spans="1:16" ht="15.6" x14ac:dyDescent="0.3">
      <c r="A37" s="39" t="s">
        <v>47</v>
      </c>
      <c r="B37" s="27" t="s">
        <v>45</v>
      </c>
      <c r="C37" s="27">
        <f>SUM(C34:C36)</f>
        <v>3.84</v>
      </c>
      <c r="D37" s="27">
        <f t="shared" ref="D37:I37" si="14">SUM(D34:D36)</f>
        <v>5.120000000000001</v>
      </c>
      <c r="E37" s="27">
        <f t="shared" si="14"/>
        <v>-1.5</v>
      </c>
      <c r="F37" s="27">
        <f>SUM(F34:F36)</f>
        <v>6.29</v>
      </c>
      <c r="G37" s="27">
        <f>SUM(G34:G36)</f>
        <v>15.31</v>
      </c>
      <c r="H37" s="27">
        <f t="shared" si="14"/>
        <v>1.1200000000000001</v>
      </c>
      <c r="I37" s="27">
        <f t="shared" si="14"/>
        <v>6.26</v>
      </c>
      <c r="J37" s="27"/>
      <c r="K37" s="27"/>
      <c r="L37" s="27"/>
      <c r="M37" s="27"/>
      <c r="N37" s="27"/>
      <c r="O37" s="27"/>
      <c r="P37" s="27"/>
    </row>
    <row r="38" spans="1:16" ht="15.6" x14ac:dyDescent="0.3">
      <c r="A38" s="39" t="s">
        <v>46</v>
      </c>
      <c r="B38" s="26" t="s">
        <v>48</v>
      </c>
      <c r="C38" s="28">
        <f>SUM(C32+C37)</f>
        <v>1159.2999999999995</v>
      </c>
      <c r="D38" s="28">
        <f>SUM(D32+D37)</f>
        <v>1398.7200000000007</v>
      </c>
      <c r="E38" s="28">
        <f>SUM(E32+E37)</f>
        <v>1849.0899999999997</v>
      </c>
      <c r="F38" s="28">
        <f t="shared" ref="F38:P38" si="15">SUM(F32+F37)</f>
        <v>1522.2699999999986</v>
      </c>
      <c r="G38" s="28">
        <f t="shared" si="15"/>
        <v>2331.6299999999978</v>
      </c>
      <c r="H38" s="28">
        <f t="shared" si="15"/>
        <v>2135.3400000000011</v>
      </c>
      <c r="I38" s="28">
        <f t="shared" si="15"/>
        <v>2184.1200000000026</v>
      </c>
      <c r="J38" s="28">
        <f ca="1">SUM(J32+J37)</f>
        <v>2910.3768384797932</v>
      </c>
      <c r="K38" s="28">
        <f t="shared" ca="1" si="15"/>
        <v>3062.0094652441476</v>
      </c>
      <c r="L38" s="28">
        <f t="shared" ca="1" si="15"/>
        <v>4124.0177720361607</v>
      </c>
      <c r="M38" s="28">
        <f t="shared" ca="1" si="15"/>
        <v>4550.0886988675693</v>
      </c>
      <c r="N38" s="28">
        <f t="shared" ca="1" si="15"/>
        <v>4875.3501819159555</v>
      </c>
      <c r="O38" s="28">
        <f t="shared" ca="1" si="15"/>
        <v>6292.0606496340088</v>
      </c>
      <c r="P38" s="28">
        <f t="shared" ca="1" si="15"/>
        <v>8565.437198453259</v>
      </c>
    </row>
    <row r="39" spans="1:16" ht="15.6" x14ac:dyDescent="0.3">
      <c r="B39" s="26" t="s">
        <v>50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ht="15.6" x14ac:dyDescent="0.3">
      <c r="B40" s="27" t="s">
        <v>51</v>
      </c>
      <c r="C40" s="27">
        <v>1159.1199999999999</v>
      </c>
      <c r="D40" s="27">
        <v>1402.63</v>
      </c>
      <c r="E40" s="27">
        <v>1863.9</v>
      </c>
      <c r="F40" s="27">
        <v>1524.82</v>
      </c>
      <c r="G40" s="27">
        <v>2321.77</v>
      </c>
      <c r="H40" s="27">
        <v>2139.81</v>
      </c>
      <c r="I40" s="27">
        <v>2178.73</v>
      </c>
      <c r="J40" s="27"/>
      <c r="K40" s="27"/>
      <c r="L40" s="27"/>
      <c r="M40" s="27"/>
      <c r="N40" s="27"/>
      <c r="O40" s="27"/>
      <c r="P40" s="27"/>
    </row>
    <row r="41" spans="1:16" ht="15.6" x14ac:dyDescent="0.3">
      <c r="B41" s="27" t="s">
        <v>52</v>
      </c>
      <c r="C41" s="27">
        <v>-3.66</v>
      </c>
      <c r="D41" s="27">
        <v>-9.0299999999999994</v>
      </c>
      <c r="E41" s="27">
        <v>-13.31</v>
      </c>
      <c r="F41" s="27">
        <v>-8.84</v>
      </c>
      <c r="G41" s="27">
        <v>-5.45</v>
      </c>
      <c r="H41" s="27">
        <v>-5.59</v>
      </c>
      <c r="I41" s="27">
        <v>-0.87</v>
      </c>
      <c r="J41" s="27"/>
      <c r="K41" s="27"/>
      <c r="L41" s="27"/>
      <c r="M41" s="27"/>
      <c r="N41" s="27"/>
      <c r="O41" s="27"/>
      <c r="P41" s="27"/>
    </row>
    <row r="42" spans="1:16" ht="15.6" x14ac:dyDescent="0.3">
      <c r="B42" s="26" t="s">
        <v>57</v>
      </c>
      <c r="C42" s="33">
        <f>SUM(C40:C41)</f>
        <v>1155.4599999999998</v>
      </c>
      <c r="D42" s="33">
        <f t="shared" ref="D42:P42" si="16">SUM(D40:D41)</f>
        <v>1393.6000000000001</v>
      </c>
      <c r="E42" s="33">
        <f t="shared" si="16"/>
        <v>1850.5900000000001</v>
      </c>
      <c r="F42" s="33">
        <f t="shared" si="16"/>
        <v>1515.98</v>
      </c>
      <c r="G42" s="33">
        <f t="shared" si="16"/>
        <v>2316.3200000000002</v>
      </c>
      <c r="H42" s="33">
        <f t="shared" si="16"/>
        <v>2134.2199999999998</v>
      </c>
      <c r="I42" s="33">
        <f>SUM(I40:I41)</f>
        <v>2177.86</v>
      </c>
      <c r="J42" s="33">
        <f t="shared" si="16"/>
        <v>0</v>
      </c>
      <c r="K42" s="33">
        <f t="shared" si="16"/>
        <v>0</v>
      </c>
      <c r="L42" s="33">
        <f t="shared" si="16"/>
        <v>0</v>
      </c>
      <c r="M42" s="33">
        <f t="shared" si="16"/>
        <v>0</v>
      </c>
      <c r="N42" s="33">
        <f t="shared" si="16"/>
        <v>0</v>
      </c>
      <c r="O42" s="33">
        <f t="shared" si="16"/>
        <v>0</v>
      </c>
      <c r="P42" s="33">
        <f t="shared" si="16"/>
        <v>0</v>
      </c>
    </row>
    <row r="43" spans="1:16" ht="15.6" x14ac:dyDescent="0.3">
      <c r="B43" s="26" t="s">
        <v>58</v>
      </c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spans="1:16" ht="15.6" x14ac:dyDescent="0.3">
      <c r="B44" s="27" t="s">
        <v>51</v>
      </c>
      <c r="C44" s="27">
        <v>3.84</v>
      </c>
      <c r="D44" s="27">
        <v>5.12</v>
      </c>
      <c r="E44" s="27">
        <v>-1.5</v>
      </c>
      <c r="F44" s="27">
        <v>6.29</v>
      </c>
      <c r="G44" s="27">
        <v>15.38</v>
      </c>
      <c r="H44" s="27">
        <v>1.69</v>
      </c>
      <c r="I44" s="27">
        <v>5.85</v>
      </c>
      <c r="J44" s="27"/>
      <c r="K44" s="27"/>
      <c r="L44" s="27"/>
      <c r="M44" s="27"/>
      <c r="N44" s="27"/>
      <c r="O44" s="27"/>
      <c r="P44" s="27"/>
    </row>
    <row r="45" spans="1:16" ht="15.6" x14ac:dyDescent="0.3">
      <c r="B45" s="27" t="s">
        <v>52</v>
      </c>
      <c r="C45" s="27">
        <v>0</v>
      </c>
      <c r="D45" s="27">
        <v>0</v>
      </c>
      <c r="E45" s="27">
        <v>0</v>
      </c>
      <c r="F45" s="27">
        <v>0</v>
      </c>
      <c r="G45" s="27">
        <v>-7.0000000000000007E-2</v>
      </c>
      <c r="H45" s="27">
        <v>-0.56999999999999995</v>
      </c>
      <c r="I45" s="27">
        <v>0.41</v>
      </c>
      <c r="J45" s="27"/>
      <c r="K45" s="27"/>
      <c r="L45" s="27"/>
      <c r="M45" s="27"/>
      <c r="N45" s="27"/>
      <c r="O45" s="27"/>
      <c r="P45" s="27"/>
    </row>
    <row r="46" spans="1:16" ht="15.6" x14ac:dyDescent="0.3">
      <c r="B46" s="26" t="s">
        <v>59</v>
      </c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 spans="1:16" ht="15.6" x14ac:dyDescent="0.3">
      <c r="B47" s="27" t="s">
        <v>51</v>
      </c>
      <c r="C47" s="27">
        <v>1162.96</v>
      </c>
      <c r="D47" s="27">
        <v>1407.75</v>
      </c>
      <c r="E47" s="27">
        <v>1862.4</v>
      </c>
      <c r="F47" s="27">
        <v>1531.11</v>
      </c>
      <c r="G47" s="27">
        <v>2337.15</v>
      </c>
      <c r="H47" s="27">
        <v>2141.5</v>
      </c>
      <c r="I47" s="27">
        <v>2184.58</v>
      </c>
      <c r="J47" s="27"/>
      <c r="K47" s="27"/>
      <c r="L47" s="27"/>
      <c r="M47" s="27"/>
      <c r="N47" s="27"/>
      <c r="O47" s="27"/>
      <c r="P47" s="27"/>
    </row>
    <row r="48" spans="1:16" ht="15.6" x14ac:dyDescent="0.3">
      <c r="B48" s="27" t="s">
        <v>52</v>
      </c>
      <c r="C48" s="27">
        <v>-3.66</v>
      </c>
      <c r="D48" s="27">
        <v>-9.0299999999999994</v>
      </c>
      <c r="E48" s="27">
        <v>-13.31</v>
      </c>
      <c r="F48" s="27">
        <v>-8.84</v>
      </c>
      <c r="G48" s="27">
        <v>-5.52</v>
      </c>
      <c r="H48" s="27">
        <v>-6.16</v>
      </c>
      <c r="I48" s="27">
        <v>-0.46</v>
      </c>
      <c r="J48" s="27"/>
      <c r="K48" s="27"/>
      <c r="L48" s="27"/>
      <c r="M48" s="27"/>
      <c r="N48" s="27"/>
      <c r="O48" s="27"/>
      <c r="P48" s="27"/>
    </row>
    <row r="49" spans="1:16" s="25" customFormat="1" ht="16.2" thickBot="1" x14ac:dyDescent="0.35">
      <c r="A49" s="39"/>
      <c r="B49" s="26" t="s">
        <v>53</v>
      </c>
      <c r="C49" s="34">
        <f>SUM(C47:C48)</f>
        <v>1159.3</v>
      </c>
      <c r="D49" s="34">
        <f>SUM(D47:D48)</f>
        <v>1398.72</v>
      </c>
      <c r="E49" s="34">
        <f t="shared" ref="E49:J49" si="17">SUM(E47:E48)</f>
        <v>1849.0900000000001</v>
      </c>
      <c r="F49" s="34">
        <f t="shared" si="17"/>
        <v>1522.27</v>
      </c>
      <c r="G49" s="34">
        <f t="shared" si="17"/>
        <v>2331.63</v>
      </c>
      <c r="H49" s="34">
        <f t="shared" si="17"/>
        <v>2135.34</v>
      </c>
      <c r="I49" s="34">
        <f>SUM(I47:I48)</f>
        <v>2184.12</v>
      </c>
      <c r="J49" s="34">
        <f t="shared" si="17"/>
        <v>0</v>
      </c>
      <c r="K49" s="34">
        <f t="shared" ref="K49" si="18">SUM(K47:K48)</f>
        <v>0</v>
      </c>
      <c r="L49" s="34">
        <f t="shared" ref="L49" si="19">SUM(L47:L48)</f>
        <v>0</v>
      </c>
      <c r="M49" s="34">
        <f t="shared" ref="M49" si="20">SUM(M47:M48)</f>
        <v>0</v>
      </c>
      <c r="N49" s="34">
        <f t="shared" ref="N49" si="21">SUM(N47:N48)</f>
        <v>0</v>
      </c>
      <c r="O49" s="34">
        <f t="shared" ref="O49:P49" si="22">SUM(O47:O48)</f>
        <v>0</v>
      </c>
      <c r="P49" s="34">
        <f t="shared" si="22"/>
        <v>0</v>
      </c>
    </row>
    <row r="50" spans="1:16" s="25" customFormat="1" ht="16.2" thickTop="1" x14ac:dyDescent="0.3">
      <c r="A50" s="39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</row>
    <row r="51" spans="1:16" ht="15.6" x14ac:dyDescent="0.3">
      <c r="B51" s="35" t="s">
        <v>56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ht="15.6" x14ac:dyDescent="0.3">
      <c r="B52" s="36" t="s">
        <v>54</v>
      </c>
      <c r="C52" s="26">
        <v>48.25</v>
      </c>
      <c r="D52" s="26">
        <v>58.35</v>
      </c>
      <c r="E52" s="26">
        <v>77.430000000000007</v>
      </c>
      <c r="F52" s="26">
        <v>63.31</v>
      </c>
      <c r="G52" s="26">
        <v>96.39</v>
      </c>
      <c r="H52" s="26">
        <v>88.84</v>
      </c>
      <c r="I52" s="26">
        <v>90.45</v>
      </c>
      <c r="J52" s="26"/>
      <c r="K52" s="26"/>
      <c r="L52" s="26"/>
      <c r="M52" s="26"/>
      <c r="N52" s="26"/>
      <c r="O52" s="26"/>
      <c r="P52" s="26"/>
    </row>
    <row r="53" spans="1:16" ht="15.6" x14ac:dyDescent="0.3">
      <c r="B53" s="36" t="s">
        <v>55</v>
      </c>
      <c r="C53" s="26">
        <v>48.21</v>
      </c>
      <c r="D53" s="26">
        <v>58.34</v>
      </c>
      <c r="E53" s="26">
        <v>77.400000000000006</v>
      </c>
      <c r="F53" s="26">
        <v>63.31</v>
      </c>
      <c r="G53" s="26">
        <v>96.39</v>
      </c>
      <c r="H53" s="26">
        <v>88.84</v>
      </c>
      <c r="I53" s="26">
        <v>90.45</v>
      </c>
      <c r="J53" s="26"/>
      <c r="K53" s="26"/>
      <c r="L53" s="26"/>
      <c r="M53" s="26"/>
      <c r="N53" s="26"/>
      <c r="O53" s="26"/>
      <c r="P53" s="26"/>
    </row>
    <row r="54" spans="1:16" x14ac:dyDescent="0.3">
      <c r="B54" s="37"/>
    </row>
  </sheetData>
  <mergeCells count="2">
    <mergeCell ref="B1:C1"/>
    <mergeCell ref="B2:C2"/>
  </mergeCells>
  <phoneticPr fontId="2" type="noConversion"/>
  <dataValidations count="1">
    <dataValidation allowBlank="1" showInputMessage="1" showErrorMessage="1" prompt="Manager's descretion and decisions on these items cannot be forecasted._x000a_" sqref="J33:P37" xr:uid="{28E62CDD-5D2F-485A-8866-73C51D279CBA}"/>
  </dataValidation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AE5F-70BB-42A1-822A-D585C3D85291}">
  <sheetPr>
    <pageSetUpPr fitToPage="1"/>
  </sheetPr>
  <dimension ref="A1:Q64"/>
  <sheetViews>
    <sheetView showGridLines="0" topLeftCell="A17" zoomScale="75" zoomScaleNormal="70" workbookViewId="0">
      <selection activeCell="J24" sqref="J24"/>
    </sheetView>
  </sheetViews>
  <sheetFormatPr defaultRowHeight="14.4" x14ac:dyDescent="0.3"/>
  <cols>
    <col min="1" max="1" width="3.88671875" style="3" customWidth="1"/>
    <col min="2" max="2" width="75.109375" style="4" bestFit="1" customWidth="1"/>
    <col min="3" max="10" width="10.5546875" style="4" bestFit="1" customWidth="1"/>
    <col min="11" max="11" width="10.5546875" style="4" customWidth="1"/>
    <col min="12" max="14" width="10.5546875" style="4" bestFit="1" customWidth="1"/>
    <col min="15" max="16" width="11.5546875" style="4" bestFit="1" customWidth="1"/>
    <col min="17" max="16384" width="8.88671875" style="4"/>
  </cols>
  <sheetData>
    <row r="1" spans="1:17" ht="30" x14ac:dyDescent="0.7">
      <c r="B1" s="177" t="s">
        <v>60</v>
      </c>
      <c r="C1" s="177"/>
    </row>
    <row r="2" spans="1:17" ht="21" x14ac:dyDescent="0.5">
      <c r="B2" s="178" t="s">
        <v>174</v>
      </c>
      <c r="C2" s="178"/>
    </row>
    <row r="4" spans="1:17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7" ht="15.6" x14ac:dyDescent="0.3">
      <c r="B5" s="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7" ht="15.6" x14ac:dyDescent="0.3">
      <c r="A6" s="3" t="s">
        <v>8</v>
      </c>
      <c r="B6" s="65" t="s">
        <v>123</v>
      </c>
      <c r="J6" s="86"/>
      <c r="K6" s="86"/>
      <c r="L6" s="86"/>
      <c r="M6" s="86"/>
      <c r="N6" s="86"/>
      <c r="O6" s="86"/>
      <c r="P6" s="86"/>
    </row>
    <row r="7" spans="1:17" x14ac:dyDescent="0.3">
      <c r="A7" s="7"/>
      <c r="B7" s="4" t="s">
        <v>124</v>
      </c>
      <c r="C7" s="4">
        <f>'Income Statement'!C23</f>
        <v>1768.8999999999996</v>
      </c>
      <c r="D7" s="4">
        <f>'Income Statement'!D27</f>
        <v>1844.3000000000009</v>
      </c>
      <c r="E7" s="4">
        <f>'Income Statement'!E27</f>
        <v>2513.6099999999997</v>
      </c>
      <c r="F7" s="4">
        <v>2078.5300000000002</v>
      </c>
      <c r="G7" s="4">
        <v>3027.36</v>
      </c>
      <c r="H7" s="4">
        <v>2916.66</v>
      </c>
      <c r="I7" s="4">
        <v>2937.31</v>
      </c>
      <c r="J7" s="86">
        <f ca="1">'Income Statement'!J27</f>
        <v>3919.8452613694099</v>
      </c>
      <c r="K7" s="86">
        <f ca="1">'Income Statement'!K27</f>
        <v>4124.0718844075818</v>
      </c>
      <c r="L7" s="86">
        <f ca="1">'Income Statement'!L27</f>
        <v>5554.4393110148158</v>
      </c>
      <c r="M7" s="86">
        <f ca="1">'Income Statement'!M27</f>
        <v>6128.2935560959304</v>
      </c>
      <c r="N7" s="86">
        <f ca="1">'Income Statement'!N27</f>
        <v>6566.3724557683054</v>
      </c>
      <c r="O7" s="86">
        <f ca="1">'Income Statement'!O27</f>
        <v>8474.4710017001635</v>
      </c>
      <c r="P7" s="86">
        <f ca="1">'Income Statement'!P27</f>
        <v>11536.371500074179</v>
      </c>
    </row>
    <row r="8" spans="1:17" x14ac:dyDescent="0.3">
      <c r="B8" s="8" t="s">
        <v>125</v>
      </c>
      <c r="J8" s="86"/>
      <c r="K8" s="86"/>
      <c r="L8" s="86"/>
      <c r="M8" s="86"/>
      <c r="N8" s="86"/>
      <c r="O8" s="86"/>
      <c r="P8" s="86"/>
    </row>
    <row r="9" spans="1:17" x14ac:dyDescent="0.3">
      <c r="B9" s="4" t="s">
        <v>17</v>
      </c>
      <c r="C9" s="4">
        <v>161.88</v>
      </c>
      <c r="D9" s="4">
        <v>184.81</v>
      </c>
      <c r="E9" s="4">
        <v>197.85</v>
      </c>
      <c r="F9" s="4">
        <v>200.54</v>
      </c>
      <c r="G9" s="4">
        <v>225.91</v>
      </c>
      <c r="H9" s="4">
        <v>300.45999999999998</v>
      </c>
      <c r="I9" s="4">
        <v>313.33999999999997</v>
      </c>
      <c r="J9" s="86">
        <f>-'Asset Schedule'!J10</f>
        <v>281.33106776994117</v>
      </c>
      <c r="K9" s="86">
        <f>-'Asset Schedule'!K10</f>
        <v>273.68574635548083</v>
      </c>
      <c r="L9" s="86">
        <f>-'Asset Schedule'!L10</f>
        <v>271.1068352036844</v>
      </c>
      <c r="M9" s="86">
        <f>-'Asset Schedule'!M10</f>
        <v>274.63999371534027</v>
      </c>
      <c r="N9" s="86">
        <f>-'Asset Schedule'!N10</f>
        <v>285.11669290909418</v>
      </c>
      <c r="O9" s="86">
        <f>-'Asset Schedule'!O10</f>
        <v>302.69535155317465</v>
      </c>
      <c r="P9" s="86">
        <f>-'Asset Schedule'!P10</f>
        <v>328.7986415152904</v>
      </c>
    </row>
    <row r="10" spans="1:17" x14ac:dyDescent="0.3">
      <c r="B10" s="4" t="s">
        <v>126</v>
      </c>
      <c r="C10" s="4">
        <v>16.12</v>
      </c>
      <c r="D10" s="4">
        <v>21.58</v>
      </c>
      <c r="E10" s="4">
        <v>18.940000000000001</v>
      </c>
      <c r="F10" s="4">
        <v>4.78</v>
      </c>
      <c r="G10" s="4">
        <v>0</v>
      </c>
      <c r="H10" s="4">
        <v>0</v>
      </c>
      <c r="I10" s="4">
        <v>0</v>
      </c>
      <c r="J10" s="86"/>
      <c r="K10" s="86"/>
      <c r="L10" s="86"/>
      <c r="M10" s="86"/>
      <c r="N10" s="86"/>
      <c r="O10" s="86"/>
      <c r="P10" s="86"/>
    </row>
    <row r="11" spans="1:17" x14ac:dyDescent="0.3">
      <c r="B11" s="4" t="s">
        <v>127</v>
      </c>
      <c r="C11" s="4">
        <v>-63.85</v>
      </c>
      <c r="D11" s="4">
        <v>-89.88</v>
      </c>
      <c r="E11" s="4">
        <v>-65.47</v>
      </c>
      <c r="F11" s="4">
        <v>-28.91</v>
      </c>
      <c r="G11" s="4">
        <v>-42.08</v>
      </c>
      <c r="H11" s="4">
        <v>-25.17</v>
      </c>
      <c r="I11" s="4">
        <v>-81.349999999999994</v>
      </c>
      <c r="J11" s="86"/>
      <c r="K11" s="86"/>
      <c r="L11" s="86"/>
      <c r="M11" s="86"/>
      <c r="N11" s="86"/>
      <c r="O11" s="86"/>
      <c r="P11" s="86"/>
    </row>
    <row r="12" spans="1:17" x14ac:dyDescent="0.3">
      <c r="B12" s="4" t="s">
        <v>128</v>
      </c>
      <c r="C12" s="4">
        <v>-0.97</v>
      </c>
      <c r="D12" s="4">
        <v>-0.11</v>
      </c>
      <c r="E12" s="4">
        <v>-0.33</v>
      </c>
      <c r="F12" s="4">
        <v>-0.95</v>
      </c>
      <c r="G12" s="4">
        <v>-0.83</v>
      </c>
      <c r="H12" s="4">
        <v>-0.45</v>
      </c>
      <c r="I12" s="4">
        <v>-1.24</v>
      </c>
      <c r="J12" s="86"/>
      <c r="K12" s="86"/>
      <c r="L12" s="86"/>
      <c r="M12" s="86"/>
      <c r="N12" s="86"/>
      <c r="O12" s="86"/>
      <c r="P12" s="86"/>
    </row>
    <row r="13" spans="1:17" x14ac:dyDescent="0.3">
      <c r="B13" s="4" t="s">
        <v>129</v>
      </c>
      <c r="C13" s="4">
        <v>0</v>
      </c>
      <c r="D13" s="4">
        <v>0</v>
      </c>
      <c r="E13" s="4">
        <v>0</v>
      </c>
      <c r="F13" s="4">
        <v>0</v>
      </c>
      <c r="G13" s="4">
        <v>-375.6</v>
      </c>
      <c r="H13" s="4">
        <v>0</v>
      </c>
      <c r="I13" s="4">
        <v>0</v>
      </c>
      <c r="J13" s="114"/>
      <c r="K13" s="114"/>
      <c r="L13" s="114"/>
      <c r="M13" s="114"/>
      <c r="N13" s="114"/>
      <c r="O13" s="114"/>
      <c r="P13" s="114"/>
    </row>
    <row r="14" spans="1:17" x14ac:dyDescent="0.3">
      <c r="B14" s="4" t="s">
        <v>130</v>
      </c>
      <c r="C14" s="4">
        <v>-136.77000000000001</v>
      </c>
      <c r="D14" s="4">
        <v>-176.77</v>
      </c>
      <c r="E14" s="4">
        <v>-234.66</v>
      </c>
      <c r="F14" s="4">
        <v>-184.6</v>
      </c>
      <c r="G14" s="4">
        <v>-163.15</v>
      </c>
      <c r="H14" s="4">
        <v>-178.75</v>
      </c>
      <c r="I14" s="4">
        <v>-132.80000000000001</v>
      </c>
      <c r="J14" s="83">
        <f>-('Other Schedule'!J18)</f>
        <v>-209.83200399368388</v>
      </c>
      <c r="K14" s="83">
        <f>-('Other Schedule'!K18)</f>
        <v>-573.4656099968206</v>
      </c>
      <c r="L14" s="83">
        <f>-('Other Schedule'!L18)</f>
        <v>-1088.5836741293442</v>
      </c>
      <c r="M14" s="83">
        <f>-('Other Schedule'!M18)</f>
        <v>-1846.3108093767778</v>
      </c>
      <c r="N14" s="83">
        <f>-('Other Schedule'!N18)</f>
        <v>-2840.0583734067332</v>
      </c>
      <c r="O14" s="83">
        <f>-('Other Schedule'!O18)</f>
        <v>-4267.4365683837968</v>
      </c>
      <c r="P14" s="83">
        <f>-('Other Schedule'!P18)</f>
        <v>-6506.7073128947959</v>
      </c>
      <c r="Q14" s="2"/>
    </row>
    <row r="15" spans="1:17" x14ac:dyDescent="0.3">
      <c r="B15" s="4" t="s">
        <v>131</v>
      </c>
      <c r="C15" s="4">
        <v>0</v>
      </c>
      <c r="D15" s="4">
        <v>0</v>
      </c>
      <c r="E15" s="4">
        <v>0</v>
      </c>
      <c r="F15" s="4">
        <v>0</v>
      </c>
      <c r="G15" s="4">
        <v>5.59</v>
      </c>
      <c r="H15" s="4">
        <v>0</v>
      </c>
      <c r="I15" s="4">
        <v>0</v>
      </c>
      <c r="J15" s="86"/>
      <c r="K15" s="86"/>
      <c r="L15" s="86"/>
      <c r="M15" s="86"/>
      <c r="N15" s="86"/>
      <c r="O15" s="86"/>
      <c r="P15" s="86"/>
    </row>
    <row r="16" spans="1:17" x14ac:dyDescent="0.3">
      <c r="B16" s="4" t="s">
        <v>132</v>
      </c>
      <c r="C16" s="4">
        <v>9.09</v>
      </c>
      <c r="D16" s="4">
        <v>76.900000000000006</v>
      </c>
      <c r="E16" s="4">
        <v>110.9</v>
      </c>
      <c r="F16" s="4">
        <v>144.29</v>
      </c>
      <c r="G16" s="4">
        <v>169.1</v>
      </c>
      <c r="H16" s="4">
        <v>164</v>
      </c>
      <c r="I16" s="4">
        <v>138.80000000000001</v>
      </c>
      <c r="J16" s="86">
        <f>'Debt Schedule'!J30</f>
        <v>124.53594968327214</v>
      </c>
      <c r="K16" s="86">
        <f>'Debt Schedule'!K30</f>
        <v>187.74970197175045</v>
      </c>
      <c r="L16" s="86">
        <f>'Debt Schedule'!L30</f>
        <v>279.9530268269317</v>
      </c>
      <c r="M16" s="86">
        <f>'Debt Schedule'!M30</f>
        <v>420.59916864789676</v>
      </c>
      <c r="N16" s="86">
        <f>'Debt Schedule'!N30</f>
        <v>642.57452636469134</v>
      </c>
      <c r="O16" s="86">
        <f>'Debt Schedule'!O30</f>
        <v>1001.5613297085015</v>
      </c>
      <c r="P16" s="86">
        <f>'Debt Schedule'!P30</f>
        <v>1591.9431910641995</v>
      </c>
    </row>
    <row r="17" spans="1:16" x14ac:dyDescent="0.3">
      <c r="B17" s="8" t="s">
        <v>141</v>
      </c>
      <c r="J17" s="86"/>
      <c r="K17" s="86"/>
      <c r="L17" s="86"/>
      <c r="M17" s="86"/>
      <c r="N17" s="86"/>
      <c r="O17" s="86"/>
      <c r="P17" s="86"/>
    </row>
    <row r="18" spans="1:16" x14ac:dyDescent="0.3">
      <c r="B18" s="4" t="s">
        <v>133</v>
      </c>
      <c r="C18" s="4">
        <v>-127.21</v>
      </c>
      <c r="D18" s="4">
        <v>42.99</v>
      </c>
      <c r="E18" s="4">
        <v>-351.44</v>
      </c>
      <c r="F18" s="4">
        <v>-274.76</v>
      </c>
      <c r="G18" s="4">
        <v>177.15</v>
      </c>
      <c r="H18" s="4">
        <v>12.6</v>
      </c>
      <c r="I18" s="4">
        <v>-54.33</v>
      </c>
      <c r="J18" s="86">
        <f>-('Balance Sheet'!J24-'Balance Sheet'!I24)</f>
        <v>-291.16932828157042</v>
      </c>
      <c r="K18" s="86">
        <f>-('Balance Sheet'!K24-'Balance Sheet'!J24)</f>
        <v>-99.057525960041403</v>
      </c>
      <c r="L18" s="86">
        <f>-('Balance Sheet'!L24-'Balance Sheet'!K24)</f>
        <v>-46.450389344953237</v>
      </c>
      <c r="M18" s="86">
        <f>-('Balance Sheet'!M24-'Balance Sheet'!L24)</f>
        <v>-357.64923050791913</v>
      </c>
      <c r="N18" s="86">
        <f>-('Balance Sheet'!N24-'Balance Sheet'!M24)</f>
        <v>-220.03558217070099</v>
      </c>
      <c r="O18" s="86">
        <f>-('Balance Sheet'!O24-'Balance Sheet'!N24)</f>
        <v>-219.1456516966864</v>
      </c>
      <c r="P18" s="86">
        <f>-('Balance Sheet'!P24-'Balance Sheet'!O24)</f>
        <v>-313.94554134484861</v>
      </c>
    </row>
    <row r="19" spans="1:16" x14ac:dyDescent="0.3">
      <c r="B19" s="4" t="s">
        <v>134</v>
      </c>
      <c r="C19" s="4">
        <v>-86.67</v>
      </c>
      <c r="D19" s="4">
        <v>78.849999999999994</v>
      </c>
      <c r="E19" s="4">
        <v>61.4</v>
      </c>
      <c r="F19" s="4">
        <v>-72.209999999999994</v>
      </c>
      <c r="G19" s="4">
        <v>1.29</v>
      </c>
      <c r="H19" s="4">
        <v>-63.65</v>
      </c>
      <c r="I19" s="4">
        <v>-53.44</v>
      </c>
      <c r="J19" s="86">
        <f>-('Balance Sheet'!J27-'Balance Sheet'!I27)</f>
        <v>19.930891865085982</v>
      </c>
      <c r="K19" s="86">
        <f>-('Balance Sheet'!K27-'Balance Sheet'!J27)</f>
        <v>-94.208863284084259</v>
      </c>
      <c r="L19" s="86">
        <f>-('Balance Sheet'!L27-'Balance Sheet'!K27)</f>
        <v>5.5852626360695012</v>
      </c>
      <c r="M19" s="86">
        <f>-('Balance Sheet'!M27-'Balance Sheet'!L27)</f>
        <v>-112.15051690226392</v>
      </c>
      <c r="N19" s="86">
        <f>-('Balance Sheet'!N27-'Balance Sheet'!M27)</f>
        <v>-17.080377077245203</v>
      </c>
      <c r="O19" s="86">
        <f>-('Balance Sheet'!O27-'Balance Sheet'!N27)</f>
        <v>-141.09330657160558</v>
      </c>
      <c r="P19" s="86">
        <f>-('Balance Sheet'!P27-'Balance Sheet'!O27)</f>
        <v>-54.465997563065457</v>
      </c>
    </row>
    <row r="20" spans="1:16" x14ac:dyDescent="0.3">
      <c r="B20" s="4" t="s">
        <v>135</v>
      </c>
      <c r="C20" s="4">
        <v>10.9</v>
      </c>
      <c r="D20" s="4">
        <v>-23.66</v>
      </c>
      <c r="E20" s="4">
        <v>-170.82</v>
      </c>
      <c r="F20" s="4">
        <v>-44.29</v>
      </c>
      <c r="G20" s="4">
        <v>-64.819999999999993</v>
      </c>
      <c r="H20" s="4">
        <v>-24.52</v>
      </c>
      <c r="I20" s="4">
        <v>-106.58</v>
      </c>
      <c r="J20" s="86"/>
      <c r="K20" s="86"/>
      <c r="L20" s="86"/>
      <c r="M20" s="86"/>
      <c r="N20" s="86"/>
      <c r="O20" s="86"/>
      <c r="P20" s="86"/>
    </row>
    <row r="21" spans="1:16" s="8" customFormat="1" x14ac:dyDescent="0.3">
      <c r="A21" s="3"/>
      <c r="B21" s="4" t="s">
        <v>136</v>
      </c>
      <c r="C21" s="4">
        <v>200.49</v>
      </c>
      <c r="D21" s="4">
        <v>29.21</v>
      </c>
      <c r="E21" s="4">
        <v>404.71</v>
      </c>
      <c r="F21" s="4">
        <v>64.010000000000005</v>
      </c>
      <c r="G21" s="4">
        <v>292.04000000000002</v>
      </c>
      <c r="H21" s="4">
        <v>236.67</v>
      </c>
      <c r="I21" s="4">
        <v>210.15</v>
      </c>
      <c r="J21" s="86">
        <f>'Working Capital Schedule'!J37-'Working Capital Schedule'!I37</f>
        <v>113.22975963211002</v>
      </c>
      <c r="K21" s="86">
        <f>'Working Capital Schedule'!K37-'Working Capital Schedule'!J37</f>
        <v>315.73716445199943</v>
      </c>
      <c r="L21" s="86">
        <f>'Working Capital Schedule'!L37-'Working Capital Schedule'!K37</f>
        <v>-160.03131810449668</v>
      </c>
      <c r="M21" s="86">
        <f>'Working Capital Schedule'!M37-'Working Capital Schedule'!L37</f>
        <v>753.11152533303721</v>
      </c>
      <c r="N21" s="86">
        <f>'Working Capital Schedule'!N37-'Working Capital Schedule'!M37</f>
        <v>58.613916306589999</v>
      </c>
      <c r="O21" s="86">
        <f>'Working Capital Schedule'!O37-'Working Capital Schedule'!N37</f>
        <v>534.811923762677</v>
      </c>
      <c r="P21" s="86">
        <f>'Working Capital Schedule'!P37-'Working Capital Schedule'!O37</f>
        <v>79.669368088386364</v>
      </c>
    </row>
    <row r="22" spans="1:16" x14ac:dyDescent="0.3">
      <c r="B22" s="8" t="s">
        <v>137</v>
      </c>
      <c r="C22" s="9">
        <f>SUM(C7:C21)</f>
        <v>1751.9099999999996</v>
      </c>
      <c r="D22" s="9">
        <f t="shared" ref="D22:P22" si="0">SUM(D7:D21)</f>
        <v>1988.2200000000009</v>
      </c>
      <c r="E22" s="9">
        <f t="shared" si="0"/>
        <v>2484.69</v>
      </c>
      <c r="F22" s="9">
        <f t="shared" si="0"/>
        <v>1886.4300000000007</v>
      </c>
      <c r="G22" s="9">
        <f t="shared" si="0"/>
        <v>3251.96</v>
      </c>
      <c r="H22" s="9">
        <f t="shared" si="0"/>
        <v>3337.85</v>
      </c>
      <c r="I22" s="9">
        <f t="shared" si="0"/>
        <v>3169.8600000000006</v>
      </c>
      <c r="J22" s="9">
        <f ca="1">SUM(J7:J21)</f>
        <v>3957.8715980445645</v>
      </c>
      <c r="K22" s="9">
        <f t="shared" ca="1" si="0"/>
        <v>4134.512497945866</v>
      </c>
      <c r="L22" s="9">
        <f t="shared" ca="1" si="0"/>
        <v>4816.0190541027068</v>
      </c>
      <c r="M22" s="9">
        <f t="shared" ca="1" si="0"/>
        <v>5260.5336870052433</v>
      </c>
      <c r="N22" s="9">
        <f t="shared" ca="1" si="0"/>
        <v>4475.5032586940015</v>
      </c>
      <c r="O22" s="9">
        <f t="shared" ca="1" si="0"/>
        <v>5685.8640800724288</v>
      </c>
      <c r="P22" s="9">
        <f t="shared" ca="1" si="0"/>
        <v>6661.6638489393454</v>
      </c>
    </row>
    <row r="23" spans="1:16" x14ac:dyDescent="0.3">
      <c r="B23" s="4" t="s">
        <v>138</v>
      </c>
      <c r="C23" s="4">
        <v>-596.13</v>
      </c>
      <c r="D23" s="4">
        <v>-503.25</v>
      </c>
      <c r="E23" s="4">
        <v>-632.80999999999995</v>
      </c>
      <c r="F23" s="4">
        <v>-586.91</v>
      </c>
      <c r="G23" s="4">
        <v>-725.75</v>
      </c>
      <c r="H23" s="4">
        <v>-764.87</v>
      </c>
      <c r="I23" s="4">
        <v>-689.21</v>
      </c>
      <c r="J23" s="8">
        <f ca="1">-('Cost Schedule '!J38)</f>
        <v>-1009.4684228896164</v>
      </c>
      <c r="K23" s="8">
        <f ca="1">-('Cost Schedule '!K38)</f>
        <v>-1062.0624191634379</v>
      </c>
      <c r="L23" s="8">
        <f ca="1">-('Cost Schedule '!L38)</f>
        <v>-1430.4215389786548</v>
      </c>
      <c r="M23" s="8">
        <f ca="1">-('Cost Schedule '!M38)</f>
        <v>-1578.2048572283575</v>
      </c>
      <c r="N23" s="8">
        <f ca="1">-('Cost Schedule '!N38)</f>
        <v>-1691.0222738523498</v>
      </c>
      <c r="O23" s="8">
        <f ca="1">-('Cost Schedule '!O38)</f>
        <v>-2182.4103520661542</v>
      </c>
      <c r="P23" s="8">
        <f ca="1">-('Cost Schedule '!P38)</f>
        <v>-2970.9343016209209</v>
      </c>
    </row>
    <row r="25" spans="1:16" x14ac:dyDescent="0.3">
      <c r="B25" s="10" t="s">
        <v>139</v>
      </c>
      <c r="C25" s="11">
        <f>SUM(C22:C23)</f>
        <v>1155.7799999999997</v>
      </c>
      <c r="D25" s="11">
        <f t="shared" ref="D25:P25" si="1">SUM(D22:D23)</f>
        <v>1484.9700000000009</v>
      </c>
      <c r="E25" s="11">
        <f t="shared" si="1"/>
        <v>1851.88</v>
      </c>
      <c r="F25" s="11">
        <f t="shared" si="1"/>
        <v>1299.5200000000009</v>
      </c>
      <c r="G25" s="11">
        <f t="shared" si="1"/>
        <v>2526.21</v>
      </c>
      <c r="H25" s="11">
        <f t="shared" si="1"/>
        <v>2572.98</v>
      </c>
      <c r="I25" s="11">
        <f>SUM(I22:I23)</f>
        <v>2480.6500000000005</v>
      </c>
      <c r="J25" s="11">
        <f ca="1">SUM(J22:J23)</f>
        <v>2948.4031751549483</v>
      </c>
      <c r="K25" s="11">
        <f t="shared" ca="1" si="1"/>
        <v>3072.4500787824281</v>
      </c>
      <c r="L25" s="11">
        <f t="shared" ca="1" si="1"/>
        <v>3385.5975151240518</v>
      </c>
      <c r="M25" s="11">
        <f t="shared" ca="1" si="1"/>
        <v>3682.3288297768859</v>
      </c>
      <c r="N25" s="11">
        <f t="shared" ca="1" si="1"/>
        <v>2784.4809848416517</v>
      </c>
      <c r="O25" s="11">
        <f t="shared" ca="1" si="1"/>
        <v>3503.4537280062746</v>
      </c>
      <c r="P25" s="11">
        <f t="shared" ca="1" si="1"/>
        <v>3690.7295473184245</v>
      </c>
    </row>
    <row r="27" spans="1:16" ht="15.6" x14ac:dyDescent="0.3">
      <c r="A27" s="3" t="s">
        <v>9</v>
      </c>
      <c r="B27" s="65" t="s">
        <v>140</v>
      </c>
      <c r="J27" s="86"/>
      <c r="K27" s="86"/>
      <c r="L27" s="86"/>
      <c r="M27" s="86"/>
      <c r="N27" s="86"/>
      <c r="O27" s="86"/>
      <c r="P27" s="86"/>
    </row>
    <row r="28" spans="1:16" x14ac:dyDescent="0.3">
      <c r="B28" s="4" t="s">
        <v>142</v>
      </c>
      <c r="C28" s="4">
        <v>-401.21</v>
      </c>
      <c r="D28" s="4">
        <v>-244.17</v>
      </c>
      <c r="E28" s="4">
        <v>-242.07</v>
      </c>
      <c r="F28" s="4">
        <v>-550.17999999999995</v>
      </c>
      <c r="G28" s="4">
        <v>-711.46</v>
      </c>
      <c r="H28" s="4">
        <v>-552.87</v>
      </c>
      <c r="I28" s="4">
        <v>-374.85</v>
      </c>
      <c r="J28" s="86">
        <f>-('Asset Schedule'!J8)</f>
        <v>-195.42541617219771</v>
      </c>
      <c r="K28" s="86">
        <f>-('Asset Schedule'!K8)</f>
        <v>-229.78572346600191</v>
      </c>
      <c r="L28" s="86">
        <f>-('Asset Schedule'!L8)</f>
        <v>-275.87597775325054</v>
      </c>
      <c r="M28" s="86">
        <f>-('Asset Schedule'!M8)</f>
        <v>-338.86670391190023</v>
      </c>
      <c r="N28" s="86">
        <f>-('Asset Schedule'!N8)</f>
        <v>-417.54530032842956</v>
      </c>
      <c r="O28" s="86">
        <f>-('Asset Schedule'!O8)</f>
        <v>-505.54574744201068</v>
      </c>
      <c r="P28" s="86">
        <f>-('Asset Schedule'!P8)</f>
        <v>-616.84704641885537</v>
      </c>
    </row>
    <row r="29" spans="1:16" x14ac:dyDescent="0.3">
      <c r="B29" s="4" t="s">
        <v>143</v>
      </c>
      <c r="C29" s="4">
        <v>0</v>
      </c>
      <c r="D29" s="4">
        <v>0</v>
      </c>
      <c r="E29" s="4">
        <v>0</v>
      </c>
      <c r="F29" s="4">
        <v>191.78</v>
      </c>
      <c r="G29" s="4">
        <v>443.27</v>
      </c>
      <c r="H29" s="4">
        <v>294.22000000000003</v>
      </c>
      <c r="I29" s="4">
        <v>572.16</v>
      </c>
      <c r="J29" s="86"/>
      <c r="K29" s="86"/>
      <c r="L29" s="86"/>
      <c r="M29" s="86"/>
      <c r="N29" s="86"/>
      <c r="O29" s="86"/>
      <c r="P29" s="86"/>
    </row>
    <row r="30" spans="1:16" x14ac:dyDescent="0.3">
      <c r="B30" s="4" t="s">
        <v>144</v>
      </c>
      <c r="C30" s="4">
        <v>1.82</v>
      </c>
      <c r="D30" s="4">
        <v>0.73</v>
      </c>
      <c r="E30" s="4">
        <v>2.17</v>
      </c>
      <c r="F30" s="4">
        <v>3.16</v>
      </c>
      <c r="G30" s="4">
        <v>78.430000000000007</v>
      </c>
      <c r="H30" s="4">
        <v>64.52</v>
      </c>
      <c r="I30" s="4">
        <v>4.58</v>
      </c>
      <c r="J30" s="86">
        <f>-'Asset Schedule'!J22</f>
        <v>31.493445263243245</v>
      </c>
      <c r="K30" s="86">
        <f>-'Asset Schedule'!K22</f>
        <v>30.200781751014929</v>
      </c>
      <c r="L30" s="86">
        <f>-'Asset Schedule'!L22</f>
        <v>29.384869116704401</v>
      </c>
      <c r="M30" s="86">
        <f>-'Asset Schedule'!M22</f>
        <v>29.113829113747585</v>
      </c>
      <c r="N30" s="86">
        <f>-'Asset Schedule'!N22</f>
        <v>29.500451680688705</v>
      </c>
      <c r="O30" s="86">
        <f>-'Asset Schedule'!O22</f>
        <v>30.633777871961279</v>
      </c>
      <c r="P30" s="86">
        <f>-'Asset Schedule'!P22</f>
        <v>32.530028731313124</v>
      </c>
    </row>
    <row r="31" spans="1:16" x14ac:dyDescent="0.3">
      <c r="B31" s="4" t="s">
        <v>145</v>
      </c>
      <c r="C31" s="4">
        <v>-334.12</v>
      </c>
      <c r="D31" s="4">
        <v>-1326.63</v>
      </c>
      <c r="E31" s="4">
        <v>0</v>
      </c>
      <c r="F31" s="4">
        <v>-20.68</v>
      </c>
      <c r="G31" s="4">
        <v>-400.82</v>
      </c>
      <c r="H31" s="4">
        <v>-190.9</v>
      </c>
      <c r="I31" s="4">
        <v>-945.05</v>
      </c>
      <c r="J31" s="86"/>
      <c r="K31" s="86"/>
      <c r="L31" s="86"/>
      <c r="M31" s="86"/>
      <c r="N31" s="86"/>
      <c r="O31" s="86"/>
      <c r="P31" s="86"/>
    </row>
    <row r="32" spans="1:16" x14ac:dyDescent="0.3">
      <c r="B32" s="4" t="s">
        <v>146</v>
      </c>
      <c r="C32" s="4">
        <v>0</v>
      </c>
      <c r="D32" s="4">
        <v>0</v>
      </c>
      <c r="E32" s="4">
        <v>178.82</v>
      </c>
      <c r="F32" s="4">
        <v>876.87</v>
      </c>
      <c r="G32" s="4">
        <v>-1067.32</v>
      </c>
      <c r="H32" s="4">
        <v>476.87</v>
      </c>
      <c r="I32" s="4">
        <v>347.31</v>
      </c>
      <c r="J32" s="86"/>
      <c r="K32" s="86"/>
      <c r="L32" s="86"/>
      <c r="M32" s="86"/>
      <c r="N32" s="86"/>
      <c r="O32" s="86"/>
      <c r="P32" s="86"/>
    </row>
    <row r="33" spans="1:16" x14ac:dyDescent="0.3">
      <c r="B33" s="4" t="s">
        <v>147</v>
      </c>
      <c r="C33" s="4">
        <v>0</v>
      </c>
      <c r="D33" s="4">
        <v>0</v>
      </c>
      <c r="E33" s="4">
        <v>0</v>
      </c>
      <c r="F33" s="4">
        <v>0</v>
      </c>
      <c r="G33" s="4">
        <v>-214.91</v>
      </c>
      <c r="H33" s="4">
        <v>0</v>
      </c>
      <c r="I33" s="4">
        <v>0</v>
      </c>
      <c r="J33" s="86"/>
      <c r="K33" s="86"/>
      <c r="L33" s="86"/>
      <c r="M33" s="86"/>
      <c r="N33" s="86"/>
      <c r="O33" s="86"/>
      <c r="P33" s="86"/>
    </row>
    <row r="34" spans="1:16" x14ac:dyDescent="0.3">
      <c r="B34" s="4" t="s">
        <v>167</v>
      </c>
      <c r="C34" s="4">
        <v>0</v>
      </c>
      <c r="D34" s="4">
        <v>0</v>
      </c>
      <c r="E34" s="4">
        <v>0</v>
      </c>
      <c r="F34" s="4">
        <v>0</v>
      </c>
      <c r="G34" s="4">
        <v>261.8</v>
      </c>
      <c r="H34" s="4">
        <v>0</v>
      </c>
      <c r="I34" s="4">
        <v>0</v>
      </c>
      <c r="J34" s="86"/>
      <c r="K34" s="86"/>
      <c r="L34" s="86"/>
      <c r="M34" s="86"/>
      <c r="N34" s="86"/>
      <c r="O34" s="86"/>
      <c r="P34" s="86"/>
    </row>
    <row r="35" spans="1:16" x14ac:dyDescent="0.3">
      <c r="B35" s="4" t="s">
        <v>148</v>
      </c>
      <c r="C35" s="4">
        <v>-874.3</v>
      </c>
      <c r="D35" s="4">
        <v>-1293.4100000000001</v>
      </c>
      <c r="E35" s="4">
        <f>-1202.5</f>
        <v>-1202.5</v>
      </c>
      <c r="F35" s="4">
        <v>-740</v>
      </c>
      <c r="G35" s="4">
        <v>-850</v>
      </c>
      <c r="H35" s="4">
        <v>-610</v>
      </c>
      <c r="I35" s="4">
        <v>-75</v>
      </c>
      <c r="J35" s="86"/>
      <c r="K35" s="86"/>
      <c r="L35" s="86"/>
      <c r="M35" s="86"/>
      <c r="N35" s="86"/>
      <c r="O35" s="86"/>
      <c r="P35" s="86"/>
    </row>
    <row r="36" spans="1:16" x14ac:dyDescent="0.3">
      <c r="B36" s="4" t="s">
        <v>149</v>
      </c>
      <c r="C36" s="4">
        <v>635.4</v>
      </c>
      <c r="D36" s="4">
        <v>1204.2</v>
      </c>
      <c r="E36" s="4">
        <v>1491.41</v>
      </c>
      <c r="F36" s="4">
        <v>941.5</v>
      </c>
      <c r="G36" s="4">
        <v>938</v>
      </c>
      <c r="H36" s="4">
        <v>860</v>
      </c>
      <c r="I36" s="4">
        <v>460</v>
      </c>
      <c r="J36" s="86"/>
      <c r="K36" s="86"/>
      <c r="L36" s="86"/>
      <c r="M36" s="86"/>
      <c r="N36" s="86"/>
      <c r="O36" s="86"/>
      <c r="P36" s="86"/>
    </row>
    <row r="37" spans="1:16" x14ac:dyDescent="0.3">
      <c r="B37" s="4" t="s">
        <v>150</v>
      </c>
      <c r="C37" s="4">
        <v>0</v>
      </c>
      <c r="D37" s="4">
        <v>0</v>
      </c>
      <c r="E37" s="4">
        <v>0</v>
      </c>
      <c r="F37" s="4">
        <v>1.69</v>
      </c>
      <c r="G37" s="4">
        <v>-28.69</v>
      </c>
      <c r="H37" s="4">
        <v>-27.95</v>
      </c>
      <c r="I37" s="4">
        <v>-56.15</v>
      </c>
      <c r="J37" s="86"/>
      <c r="K37" s="86"/>
      <c r="L37" s="86"/>
      <c r="M37" s="86"/>
      <c r="N37" s="86"/>
      <c r="O37" s="86"/>
      <c r="P37" s="86"/>
    </row>
    <row r="38" spans="1:16" x14ac:dyDescent="0.3">
      <c r="B38" s="4" t="s">
        <v>151</v>
      </c>
      <c r="C38" s="4">
        <v>0</v>
      </c>
      <c r="D38" s="4">
        <v>0</v>
      </c>
      <c r="E38" s="4">
        <v>0</v>
      </c>
      <c r="F38" s="4">
        <v>0</v>
      </c>
      <c r="G38" s="4">
        <v>-1.45</v>
      </c>
      <c r="H38" s="4">
        <v>0</v>
      </c>
      <c r="I38" s="4">
        <v>0</v>
      </c>
      <c r="J38" s="86"/>
      <c r="K38" s="86"/>
      <c r="L38" s="86"/>
      <c r="M38" s="86"/>
      <c r="N38" s="86"/>
      <c r="O38" s="86"/>
      <c r="P38" s="86"/>
    </row>
    <row r="39" spans="1:16" x14ac:dyDescent="0.3">
      <c r="A39" s="12"/>
      <c r="B39" s="4" t="s">
        <v>152</v>
      </c>
      <c r="C39" s="4">
        <v>0</v>
      </c>
      <c r="D39" s="4">
        <v>0</v>
      </c>
      <c r="E39" s="4">
        <v>0</v>
      </c>
      <c r="F39" s="4">
        <v>0</v>
      </c>
      <c r="G39" s="4">
        <v>-138.59</v>
      </c>
      <c r="H39" s="4">
        <v>0</v>
      </c>
      <c r="I39" s="4">
        <v>0</v>
      </c>
      <c r="J39" s="86"/>
      <c r="K39" s="86"/>
      <c r="L39" s="86"/>
      <c r="M39" s="86"/>
      <c r="N39" s="86"/>
      <c r="O39" s="86"/>
      <c r="P39" s="86"/>
    </row>
    <row r="40" spans="1:16" x14ac:dyDescent="0.3">
      <c r="B40" s="4" t="s">
        <v>153</v>
      </c>
      <c r="C40" s="4">
        <v>116.88</v>
      </c>
      <c r="D40" s="4">
        <v>127.62</v>
      </c>
      <c r="E40" s="4">
        <v>233.43</v>
      </c>
      <c r="F40" s="4">
        <v>206.75</v>
      </c>
      <c r="G40" s="4">
        <v>174.68</v>
      </c>
      <c r="H40" s="4">
        <v>170.26</v>
      </c>
      <c r="I40" s="4">
        <v>151.36000000000001</v>
      </c>
      <c r="J40" s="86">
        <f ca="1">'Other Schedule'!J13</f>
        <v>217.37389774641827</v>
      </c>
      <c r="K40" s="86">
        <f ca="1">'Other Schedule'!K13</f>
        <v>573.46707132978383</v>
      </c>
      <c r="L40" s="86">
        <f ca="1">'Other Schedule'!L13</f>
        <v>1088.5799672270841</v>
      </c>
      <c r="M40" s="86">
        <f ca="1">'Other Schedule'!M13</f>
        <v>1846.3069208113786</v>
      </c>
      <c r="N40" s="86">
        <f ca="1">'Other Schedule'!N13</f>
        <v>2840.0587024258211</v>
      </c>
      <c r="O40" s="86">
        <f ca="1">'Other Schedule'!O13</f>
        <v>4267.4362197765704</v>
      </c>
      <c r="P40" s="86">
        <f ca="1">'Other Schedule'!P13</f>
        <v>6506.7114386266458</v>
      </c>
    </row>
    <row r="41" spans="1:16" x14ac:dyDescent="0.3">
      <c r="B41" s="10" t="s">
        <v>154</v>
      </c>
      <c r="C41" s="11">
        <f>SUM(C28:C40)</f>
        <v>-855.53</v>
      </c>
      <c r="D41" s="11">
        <f t="shared" ref="D41:P41" si="2">SUM(D28:D40)</f>
        <v>-1531.6600000000003</v>
      </c>
      <c r="E41" s="11">
        <f t="shared" si="2"/>
        <v>461.26000000000016</v>
      </c>
      <c r="F41" s="11">
        <f>SUM(F28:F40)</f>
        <v>910.8900000000001</v>
      </c>
      <c r="G41" s="11">
        <f t="shared" si="2"/>
        <v>-1517.0600000000002</v>
      </c>
      <c r="H41" s="11">
        <f t="shared" si="2"/>
        <v>484.15000000000003</v>
      </c>
      <c r="I41" s="11">
        <f t="shared" si="2"/>
        <v>84.360000000000042</v>
      </c>
      <c r="J41" s="11">
        <f ca="1">SUM(J28:J40)</f>
        <v>53.441926837463797</v>
      </c>
      <c r="K41" s="11">
        <f t="shared" ca="1" si="2"/>
        <v>373.88212961479684</v>
      </c>
      <c r="L41" s="11">
        <f t="shared" ca="1" si="2"/>
        <v>842.08885859053794</v>
      </c>
      <c r="M41" s="11">
        <f t="shared" ca="1" si="2"/>
        <v>1536.5540460132261</v>
      </c>
      <c r="N41" s="11">
        <f t="shared" ca="1" si="2"/>
        <v>2452.0138537780804</v>
      </c>
      <c r="O41" s="11">
        <f t="shared" ca="1" si="2"/>
        <v>3792.5242502065212</v>
      </c>
      <c r="P41" s="11">
        <f t="shared" ca="1" si="2"/>
        <v>5922.3944209391038</v>
      </c>
    </row>
    <row r="43" spans="1:16" ht="15.6" x14ac:dyDescent="0.3">
      <c r="A43" s="3" t="s">
        <v>12</v>
      </c>
      <c r="B43" s="65" t="s">
        <v>155</v>
      </c>
      <c r="J43" s="86"/>
      <c r="K43" s="86"/>
      <c r="L43" s="86"/>
      <c r="M43" s="86"/>
      <c r="N43" s="86"/>
      <c r="O43" s="86"/>
      <c r="P43" s="86"/>
    </row>
    <row r="44" spans="1:16" x14ac:dyDescent="0.3">
      <c r="B44" s="4" t="s">
        <v>156</v>
      </c>
      <c r="C44" s="4">
        <v>29.79</v>
      </c>
      <c r="D44" s="4">
        <v>23.97</v>
      </c>
      <c r="E44" s="4">
        <v>103.15</v>
      </c>
      <c r="F44" s="4">
        <v>0</v>
      </c>
      <c r="G44" s="4">
        <v>0</v>
      </c>
      <c r="H44" s="4">
        <v>0</v>
      </c>
      <c r="I44" s="4">
        <v>0</v>
      </c>
      <c r="J44" s="86"/>
      <c r="K44" s="86"/>
      <c r="L44" s="86"/>
      <c r="M44" s="86"/>
      <c r="N44" s="86"/>
      <c r="O44" s="86"/>
      <c r="P44" s="86"/>
    </row>
    <row r="45" spans="1:16" x14ac:dyDescent="0.3">
      <c r="B45" s="4" t="s">
        <v>168</v>
      </c>
      <c r="C45" s="4">
        <v>0</v>
      </c>
      <c r="D45" s="4">
        <v>-2.0299999999999998</v>
      </c>
      <c r="E45" s="4">
        <v>-2.5499999999999998</v>
      </c>
      <c r="F45" s="4">
        <v>-1.55</v>
      </c>
      <c r="G45" s="4">
        <v>-2.76</v>
      </c>
      <c r="H45" s="4">
        <v>-1.95</v>
      </c>
      <c r="I45" s="4">
        <v>-3.58</v>
      </c>
      <c r="J45" s="86"/>
      <c r="K45" s="86"/>
      <c r="L45" s="86"/>
      <c r="M45" s="86"/>
      <c r="N45" s="86"/>
      <c r="O45" s="86"/>
      <c r="P45" s="86"/>
    </row>
    <row r="46" spans="1:16" x14ac:dyDescent="0.3">
      <c r="B46" s="4" t="s">
        <v>176</v>
      </c>
      <c r="G46" s="4">
        <v>2.69</v>
      </c>
      <c r="H46" s="4">
        <v>0</v>
      </c>
      <c r="I46" s="4">
        <v>0</v>
      </c>
      <c r="J46" s="86"/>
      <c r="K46" s="86"/>
      <c r="L46" s="86"/>
      <c r="M46" s="86"/>
      <c r="N46" s="86"/>
      <c r="O46" s="86"/>
      <c r="P46" s="86"/>
    </row>
    <row r="47" spans="1:16" x14ac:dyDescent="0.3">
      <c r="B47" s="4" t="s">
        <v>157</v>
      </c>
      <c r="C47" s="4">
        <v>0</v>
      </c>
      <c r="D47" s="4">
        <v>-0.45</v>
      </c>
      <c r="E47" s="4">
        <v>-1.04</v>
      </c>
      <c r="F47" s="4">
        <v>-0.65</v>
      </c>
      <c r="G47" s="4">
        <v>-0.63</v>
      </c>
      <c r="H47" s="4">
        <v>-0.62</v>
      </c>
      <c r="I47" s="4">
        <v>-0.89</v>
      </c>
      <c r="J47" s="86"/>
      <c r="K47" s="86"/>
      <c r="L47" s="86"/>
      <c r="M47" s="86"/>
      <c r="N47" s="86"/>
      <c r="O47" s="86"/>
      <c r="P47" s="86"/>
    </row>
    <row r="48" spans="1:16" x14ac:dyDescent="0.3">
      <c r="B48" s="4" t="s">
        <v>158</v>
      </c>
      <c r="C48" s="4">
        <v>-9.3800000000000008</v>
      </c>
      <c r="D48" s="4">
        <v>-35.54</v>
      </c>
      <c r="E48" s="4">
        <v>-101.3</v>
      </c>
      <c r="F48" s="4">
        <v>-118.61</v>
      </c>
      <c r="G48" s="4">
        <v>-195.66</v>
      </c>
      <c r="H48" s="4">
        <v>-164.28</v>
      </c>
      <c r="I48" s="4">
        <v>-170.62</v>
      </c>
      <c r="J48" s="2">
        <f>-('Debt Schedule'!J30)</f>
        <v>-124.53594968327214</v>
      </c>
      <c r="K48" s="2">
        <f>-('Debt Schedule'!K30)</f>
        <v>-187.74970197175045</v>
      </c>
      <c r="L48" s="2">
        <f>-('Debt Schedule'!L30)</f>
        <v>-279.9530268269317</v>
      </c>
      <c r="M48" s="2">
        <f>-('Debt Schedule'!M30)</f>
        <v>-420.59916864789676</v>
      </c>
      <c r="N48" s="2">
        <f>-('Debt Schedule'!N30)</f>
        <v>-642.57452636469134</v>
      </c>
      <c r="O48" s="2">
        <f>-('Debt Schedule'!O30)</f>
        <v>-1001.5613297085015</v>
      </c>
      <c r="P48" s="2">
        <f>-('Debt Schedule'!P30)</f>
        <v>-1591.9431910641995</v>
      </c>
    </row>
    <row r="49" spans="2:16" x14ac:dyDescent="0.3">
      <c r="B49" s="4" t="s">
        <v>159</v>
      </c>
      <c r="C49" s="4">
        <v>0</v>
      </c>
      <c r="D49" s="4">
        <v>720.95</v>
      </c>
      <c r="E49" s="4">
        <v>0</v>
      </c>
      <c r="F49" s="4">
        <v>698.52</v>
      </c>
      <c r="G49" s="4">
        <v>0</v>
      </c>
      <c r="H49" s="4">
        <v>0</v>
      </c>
      <c r="I49" s="4">
        <v>0</v>
      </c>
      <c r="J49" s="86">
        <f>'Debt Schedule'!J11</f>
        <v>307.98329241766078</v>
      </c>
      <c r="K49" s="86">
        <f>'Debt Schedule'!K11</f>
        <v>334.05950147987329</v>
      </c>
      <c r="L49" s="86">
        <f>'Debt Schedule'!L11</f>
        <v>365.17192275626519</v>
      </c>
      <c r="M49" s="86">
        <f>'Debt Schedule'!M11</f>
        <v>402.58298549703323</v>
      </c>
      <c r="N49" s="86">
        <f>'Debt Schedule'!N11</f>
        <v>447.95110398935367</v>
      </c>
      <c r="O49" s="86">
        <f>'Debt Schedule'!O11</f>
        <v>503.47995008157136</v>
      </c>
      <c r="P49" s="86">
        <f>'Debt Schedule'!P11</f>
        <v>572.13348492181046</v>
      </c>
    </row>
    <row r="50" spans="2:16" x14ac:dyDescent="0.3">
      <c r="B50" s="4" t="s">
        <v>169</v>
      </c>
      <c r="C50" s="4">
        <v>0</v>
      </c>
      <c r="D50" s="4">
        <v>0</v>
      </c>
      <c r="E50" s="4">
        <v>0</v>
      </c>
      <c r="F50" s="4">
        <v>645.35</v>
      </c>
      <c r="G50" s="4">
        <v>299.39999999999998</v>
      </c>
      <c r="H50" s="4">
        <v>0</v>
      </c>
      <c r="I50" s="4">
        <v>0</v>
      </c>
      <c r="J50" s="86"/>
      <c r="K50" s="86"/>
      <c r="L50" s="86"/>
      <c r="M50" s="86"/>
      <c r="N50" s="86"/>
      <c r="O50" s="86"/>
      <c r="P50" s="86"/>
    </row>
    <row r="51" spans="2:16" x14ac:dyDescent="0.3">
      <c r="B51" s="4" t="s">
        <v>160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86"/>
      <c r="K51" s="86"/>
      <c r="L51" s="86"/>
      <c r="M51" s="86"/>
      <c r="N51" s="86"/>
      <c r="O51" s="86"/>
      <c r="P51" s="86"/>
    </row>
    <row r="52" spans="2:16" x14ac:dyDescent="0.3">
      <c r="B52" s="4" t="s">
        <v>175</v>
      </c>
      <c r="C52" s="4">
        <v>0</v>
      </c>
      <c r="D52" s="4">
        <v>0</v>
      </c>
      <c r="E52" s="4">
        <v>0</v>
      </c>
      <c r="F52" s="4">
        <v>0</v>
      </c>
      <c r="G52" s="4">
        <v>1010</v>
      </c>
      <c r="H52" s="4">
        <v>200.84</v>
      </c>
      <c r="I52" s="4">
        <v>0</v>
      </c>
      <c r="J52" s="86"/>
      <c r="K52" s="86"/>
      <c r="L52" s="86"/>
      <c r="M52" s="86"/>
      <c r="N52" s="86"/>
      <c r="O52" s="86"/>
      <c r="P52" s="86"/>
    </row>
    <row r="53" spans="2:16" x14ac:dyDescent="0.3">
      <c r="B53" s="4" t="s">
        <v>177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-113.6</v>
      </c>
      <c r="I53" s="4">
        <v>-148.53</v>
      </c>
      <c r="J53" s="86"/>
      <c r="K53" s="86"/>
      <c r="L53" s="86"/>
      <c r="M53" s="86"/>
      <c r="N53" s="86"/>
      <c r="O53" s="86"/>
      <c r="P53" s="86"/>
    </row>
    <row r="54" spans="2:16" x14ac:dyDescent="0.3">
      <c r="B54" s="4" t="s">
        <v>161</v>
      </c>
      <c r="C54" s="4">
        <v>0</v>
      </c>
      <c r="D54" s="4">
        <v>0</v>
      </c>
      <c r="E54" s="4">
        <v>0</v>
      </c>
      <c r="F54" s="4">
        <v>-17.73</v>
      </c>
      <c r="G54" s="4">
        <v>-70.23</v>
      </c>
      <c r="H54" s="4">
        <v>0</v>
      </c>
      <c r="I54" s="4">
        <v>0</v>
      </c>
      <c r="J54" s="86">
        <f>'Debt Schedule'!J12</f>
        <v>-14.620944726801234</v>
      </c>
      <c r="K54" s="86">
        <f>'Debt Schedule'!K12</f>
        <v>-20.637207905347399</v>
      </c>
      <c r="L54" s="86">
        <f>'Debt Schedule'!L12</f>
        <v>-27.064859643923455</v>
      </c>
      <c r="M54" s="86">
        <f>'Debt Schedule'!M12</f>
        <v>-33.99874563924795</v>
      </c>
      <c r="N54" s="86">
        <f>'Debt Schedule'!N12</f>
        <v>-41.557656344399469</v>
      </c>
      <c r="O54" s="8">
        <f>'Debt Schedule'!O12</f>
        <v>-49.891956755866161</v>
      </c>
      <c r="P54" s="8">
        <f>'Debt Schedule'!P12</f>
        <v>-59.194121004128043</v>
      </c>
    </row>
    <row r="55" spans="2:16" x14ac:dyDescent="0.3">
      <c r="B55" s="4" t="s">
        <v>162</v>
      </c>
      <c r="C55" s="4">
        <v>-41.91</v>
      </c>
      <c r="D55" s="4">
        <v>640.72199999999998</v>
      </c>
      <c r="E55" s="4">
        <v>567.79999999999995</v>
      </c>
      <c r="F55" s="4">
        <v>0</v>
      </c>
      <c r="G55" s="4">
        <v>0</v>
      </c>
      <c r="H55" s="4">
        <v>-1027.48</v>
      </c>
      <c r="I55" s="4">
        <v>26.26</v>
      </c>
      <c r="J55" s="86">
        <f>'Debt Schedule'!J42</f>
        <v>358.28099999999995</v>
      </c>
      <c r="K55" s="86">
        <f>'Debt Schedule'!K42</f>
        <v>609.07769999999982</v>
      </c>
      <c r="L55" s="86">
        <f>'Debt Schedule'!L42</f>
        <v>1035.4320899999998</v>
      </c>
      <c r="M55" s="86">
        <f>'Debt Schedule'!M42</f>
        <v>1760.2345529999996</v>
      </c>
      <c r="N55" s="86">
        <f>'Debt Schedule'!N42</f>
        <v>2992.3987400999995</v>
      </c>
      <c r="O55" s="86">
        <f>'Debt Schedule'!O42</f>
        <v>5087.0778581699988</v>
      </c>
      <c r="P55" s="86">
        <f>'Debt Schedule'!P42</f>
        <v>8648.0323588889969</v>
      </c>
    </row>
    <row r="56" spans="2:16" x14ac:dyDescent="0.3">
      <c r="B56" s="4" t="s">
        <v>163</v>
      </c>
      <c r="C56" s="4">
        <v>23.2</v>
      </c>
      <c r="D56" s="4">
        <v>12</v>
      </c>
      <c r="E56" s="4">
        <v>14</v>
      </c>
      <c r="F56" s="4">
        <v>-966.29</v>
      </c>
      <c r="G56" s="4">
        <v>9.01</v>
      </c>
      <c r="H56" s="4">
        <v>0.43</v>
      </c>
      <c r="I56" s="4">
        <v>1.56</v>
      </c>
      <c r="J56" s="86"/>
      <c r="K56" s="86"/>
      <c r="L56" s="86"/>
      <c r="M56" s="86"/>
      <c r="N56" s="86"/>
      <c r="O56" s="86"/>
      <c r="P56" s="86"/>
    </row>
    <row r="57" spans="2:16" x14ac:dyDescent="0.3">
      <c r="B57" s="4" t="s">
        <v>164</v>
      </c>
      <c r="C57" s="4">
        <v>-354.38</v>
      </c>
      <c r="D57" s="4">
        <v>-432.53</v>
      </c>
      <c r="E57" s="4">
        <v>-2823.75</v>
      </c>
      <c r="F57" s="4">
        <v>-2484.88</v>
      </c>
      <c r="G57" s="4">
        <v>-1359.24</v>
      </c>
      <c r="H57" s="4">
        <v>-1732.47</v>
      </c>
      <c r="I57" s="4">
        <v>-1767.54</v>
      </c>
      <c r="J57" s="86">
        <f>AVERAGE(F57:I57)</f>
        <v>-1836.0325</v>
      </c>
      <c r="K57" s="86">
        <v>-1836.0325</v>
      </c>
      <c r="L57" s="86">
        <v>-1836.0325</v>
      </c>
      <c r="M57" s="86">
        <v>-1836.0325</v>
      </c>
      <c r="N57" s="86">
        <v>-1836.0325</v>
      </c>
      <c r="O57" s="86">
        <v>-1836.0325</v>
      </c>
      <c r="P57" s="86">
        <v>-1836.0325</v>
      </c>
    </row>
    <row r="58" spans="2:16" x14ac:dyDescent="0.3">
      <c r="B58" s="4" t="s">
        <v>165</v>
      </c>
      <c r="C58" s="4">
        <v>0</v>
      </c>
      <c r="D58" s="4">
        <v>-869.15</v>
      </c>
      <c r="E58" s="4">
        <v>0</v>
      </c>
      <c r="F58" s="4">
        <v>0</v>
      </c>
      <c r="G58" s="4">
        <v>-720.95</v>
      </c>
      <c r="H58" s="4">
        <v>0</v>
      </c>
      <c r="I58" s="4">
        <v>-698.52</v>
      </c>
      <c r="J58" s="86"/>
      <c r="K58" s="86"/>
      <c r="L58" s="86"/>
      <c r="M58" s="86"/>
      <c r="N58" s="86"/>
      <c r="O58" s="86"/>
      <c r="P58" s="86"/>
    </row>
    <row r="59" spans="2:16" x14ac:dyDescent="0.3">
      <c r="B59" s="10" t="s">
        <v>166</v>
      </c>
      <c r="C59" s="11">
        <f t="shared" ref="C59:I59" si="3">SUM(C44:C58)</f>
        <v>-352.68</v>
      </c>
      <c r="D59" s="11">
        <f t="shared" si="3"/>
        <v>57.942000000000121</v>
      </c>
      <c r="E59" s="11">
        <f t="shared" si="3"/>
        <v>-2243.69</v>
      </c>
      <c r="F59" s="11">
        <f t="shared" si="3"/>
        <v>-2245.84</v>
      </c>
      <c r="G59" s="11">
        <f t="shared" si="3"/>
        <v>-1028.3700000000001</v>
      </c>
      <c r="H59" s="11">
        <f t="shared" si="3"/>
        <v>-2839.13</v>
      </c>
      <c r="I59" s="11">
        <f t="shared" si="3"/>
        <v>-2761.86</v>
      </c>
      <c r="J59" s="11">
        <f>SUM(J44:J58)</f>
        <v>-1308.9251019924127</v>
      </c>
      <c r="K59" s="11">
        <f t="shared" ref="K59:P59" si="4">SUM(K44:K58)</f>
        <v>-1101.2822083972246</v>
      </c>
      <c r="L59" s="11">
        <f t="shared" si="4"/>
        <v>-742.44637371459021</v>
      </c>
      <c r="M59" s="11">
        <f t="shared" si="4"/>
        <v>-127.812875790112</v>
      </c>
      <c r="N59" s="11">
        <f t="shared" si="4"/>
        <v>920.18516138026212</v>
      </c>
      <c r="O59" s="11">
        <f t="shared" si="4"/>
        <v>2703.0720217872022</v>
      </c>
      <c r="P59" s="11">
        <f t="shared" si="4"/>
        <v>5732.9960317424793</v>
      </c>
    </row>
    <row r="61" spans="2:16" x14ac:dyDescent="0.3">
      <c r="B61" s="13" t="s">
        <v>170</v>
      </c>
      <c r="C61" s="13">
        <f t="shared" ref="C61:H61" si="5">SUM(C59+C41+C25)</f>
        <v>-52.430000000000291</v>
      </c>
      <c r="D61" s="13">
        <f t="shared" si="5"/>
        <v>11.252000000000635</v>
      </c>
      <c r="E61" s="13">
        <f t="shared" si="5"/>
        <v>69.450000000000273</v>
      </c>
      <c r="F61" s="13">
        <f t="shared" si="5"/>
        <v>-35.429999999999154</v>
      </c>
      <c r="G61" s="13">
        <f t="shared" si="5"/>
        <v>-19.220000000000255</v>
      </c>
      <c r="H61" s="13">
        <f t="shared" si="5"/>
        <v>218</v>
      </c>
      <c r="I61" s="13">
        <f>SUM(I59+I41+I25)</f>
        <v>-196.84999999999945</v>
      </c>
      <c r="J61" s="13">
        <f ca="1">SUM(J25+J41+J59)</f>
        <v>1692.9199999999992</v>
      </c>
      <c r="K61" s="13">
        <f t="shared" ref="K61:P61" ca="1" si="6">SUM(K25+K41+K59)</f>
        <v>2345.0500000000002</v>
      </c>
      <c r="L61" s="13">
        <f t="shared" ca="1" si="6"/>
        <v>3485.2399999999993</v>
      </c>
      <c r="M61" s="13">
        <f t="shared" ca="1" si="6"/>
        <v>5091.07</v>
      </c>
      <c r="N61" s="13">
        <f t="shared" ca="1" si="6"/>
        <v>6156.6799999999939</v>
      </c>
      <c r="O61" s="13">
        <f t="shared" ca="1" si="6"/>
        <v>9999.0499999999975</v>
      </c>
      <c r="P61" s="13">
        <f t="shared" ca="1" si="6"/>
        <v>15346.120000000008</v>
      </c>
    </row>
    <row r="62" spans="2:16" x14ac:dyDescent="0.3">
      <c r="B62" s="8" t="s">
        <v>171</v>
      </c>
      <c r="C62" s="4">
        <v>3.31</v>
      </c>
      <c r="D62" s="4">
        <v>5.69</v>
      </c>
      <c r="E62" s="4">
        <v>-2.44</v>
      </c>
      <c r="F62" s="4">
        <v>3.3</v>
      </c>
      <c r="G62" s="4">
        <v>10.06</v>
      </c>
      <c r="H62" s="4">
        <v>100.16</v>
      </c>
      <c r="I62" s="4">
        <v>319.45</v>
      </c>
      <c r="J62" s="86">
        <f>I64</f>
        <v>125.24000000000053</v>
      </c>
      <c r="K62" s="86">
        <f t="shared" ref="K62:P62" ca="1" si="7">J64</f>
        <v>1818.1599999999964</v>
      </c>
      <c r="L62" s="86">
        <f t="shared" ca="1" si="7"/>
        <v>4163.2099999999946</v>
      </c>
      <c r="M62" s="86">
        <f t="shared" ca="1" si="7"/>
        <v>7648.4499999999971</v>
      </c>
      <c r="N62" s="86">
        <f t="shared" ca="1" si="7"/>
        <v>12739.519999999997</v>
      </c>
      <c r="O62" s="86">
        <f t="shared" ca="1" si="7"/>
        <v>18896.2</v>
      </c>
      <c r="P62" s="86">
        <f t="shared" ca="1" si="7"/>
        <v>28895.25</v>
      </c>
    </row>
    <row r="63" spans="2:16" x14ac:dyDescent="0.3">
      <c r="B63" s="8" t="s">
        <v>172</v>
      </c>
      <c r="C63" s="4">
        <v>107.84</v>
      </c>
      <c r="D63" s="4">
        <v>58.72</v>
      </c>
      <c r="E63" s="4">
        <v>75.260000000000005</v>
      </c>
      <c r="F63" s="4">
        <v>141.44999999999999</v>
      </c>
      <c r="G63" s="4">
        <v>109.32</v>
      </c>
      <c r="H63" s="4">
        <v>1.29</v>
      </c>
      <c r="I63" s="4">
        <v>2.64</v>
      </c>
      <c r="J63" s="86"/>
      <c r="K63" s="86"/>
      <c r="L63" s="86"/>
      <c r="M63" s="86"/>
      <c r="N63" s="86"/>
      <c r="O63" s="86"/>
      <c r="P63" s="86"/>
    </row>
    <row r="64" spans="2:16" ht="15" thickBot="1" x14ac:dyDescent="0.35">
      <c r="B64" s="14" t="s">
        <v>173</v>
      </c>
      <c r="C64" s="15">
        <f>SUM(C61:C63)</f>
        <v>58.719999999999715</v>
      </c>
      <c r="D64" s="15">
        <f t="shared" ref="D64:H64" si="8">SUM(D61:D63)</f>
        <v>75.662000000000631</v>
      </c>
      <c r="E64" s="15">
        <f t="shared" si="8"/>
        <v>142.27000000000027</v>
      </c>
      <c r="F64" s="15">
        <f t="shared" si="8"/>
        <v>109.32000000000083</v>
      </c>
      <c r="G64" s="15">
        <f t="shared" si="8"/>
        <v>100.15999999999974</v>
      </c>
      <c r="H64" s="15">
        <f t="shared" si="8"/>
        <v>319.45</v>
      </c>
      <c r="I64" s="15">
        <f>SUM(I61:I63)</f>
        <v>125.24000000000053</v>
      </c>
      <c r="J64" s="15">
        <f ca="1">SUM(J61:J62)</f>
        <v>1818.1599999999996</v>
      </c>
      <c r="K64" s="15">
        <f t="shared" ref="K64:P64" ca="1" si="9">SUM(K61:K62)</f>
        <v>4163.2099999999964</v>
      </c>
      <c r="L64" s="15">
        <f t="shared" ca="1" si="9"/>
        <v>7648.4499999999935</v>
      </c>
      <c r="M64" s="15">
        <f t="shared" ca="1" si="9"/>
        <v>12739.519999999997</v>
      </c>
      <c r="N64" s="15">
        <f t="shared" ca="1" si="9"/>
        <v>18896.19999999999</v>
      </c>
      <c r="O64" s="15">
        <f t="shared" ca="1" si="9"/>
        <v>28895.25</v>
      </c>
      <c r="P64" s="15">
        <f t="shared" ca="1" si="9"/>
        <v>44241.37000000001</v>
      </c>
    </row>
  </sheetData>
  <mergeCells count="2">
    <mergeCell ref="B1:C1"/>
    <mergeCell ref="B2:C2"/>
  </mergeCells>
  <pageMargins left="0.7" right="0.7" top="0.75" bottom="0.75" header="0.3" footer="0.3"/>
  <pageSetup scale="39" orientation="portrait" r:id="rId1"/>
  <ignoredErrors>
    <ignoredError sqref="J57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687C-03D9-4A30-A67E-9BEFEC8EF27F}">
  <sheetPr>
    <pageSetUpPr fitToPage="1"/>
  </sheetPr>
  <dimension ref="A1:S268"/>
  <sheetViews>
    <sheetView topLeftCell="A42" zoomScale="71" zoomScaleNormal="85" workbookViewId="0">
      <selection activeCell="B6" sqref="B6:B5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5" width="10.21875" style="4" bestFit="1" customWidth="1"/>
    <col min="16" max="16" width="9.88671875" style="4" customWidth="1"/>
    <col min="17" max="17" width="8.88671875" style="4"/>
    <col min="18" max="18" width="34.77734375" style="4" customWidth="1"/>
    <col min="19" max="19" width="12" style="4" customWidth="1"/>
    <col min="20" max="16384" width="8.88671875" style="4"/>
  </cols>
  <sheetData>
    <row r="1" spans="1:19" ht="30" customHeight="1" x14ac:dyDescent="0.7">
      <c r="B1" s="177" t="s">
        <v>60</v>
      </c>
      <c r="C1" s="177"/>
      <c r="D1" s="177"/>
    </row>
    <row r="2" spans="1:19" ht="21" customHeight="1" x14ac:dyDescent="0.5">
      <c r="B2" s="178" t="s">
        <v>341</v>
      </c>
      <c r="C2" s="178"/>
      <c r="D2" s="178"/>
    </row>
    <row r="3" spans="1:19" customFormat="1" ht="21" customHeight="1" x14ac:dyDescent="0.3"/>
    <row r="4" spans="1:19" ht="21" customHeight="1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  <c r="Q4" s="38"/>
      <c r="R4" s="179" t="s">
        <v>342</v>
      </c>
      <c r="S4" s="179" t="s">
        <v>343</v>
      </c>
    </row>
    <row r="5" spans="1:19" ht="16.2" thickBot="1" x14ac:dyDescent="0.35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  <c r="Q5" s="6"/>
      <c r="R5" s="179"/>
      <c r="S5" s="179"/>
    </row>
    <row r="6" spans="1:19" ht="15" thickBot="1" x14ac:dyDescent="0.35">
      <c r="B6" s="130" t="s">
        <v>311</v>
      </c>
      <c r="C6" s="137"/>
      <c r="D6" s="152"/>
      <c r="E6" s="151">
        <v>2021</v>
      </c>
      <c r="F6" s="151">
        <v>2022</v>
      </c>
      <c r="G6" s="151">
        <v>2023</v>
      </c>
      <c r="H6" s="151">
        <v>2024</v>
      </c>
      <c r="I6" s="151">
        <v>2025</v>
      </c>
      <c r="J6" s="137"/>
      <c r="K6" s="137"/>
      <c r="L6" s="137"/>
      <c r="M6" s="137"/>
      <c r="N6" s="137"/>
      <c r="O6" s="137"/>
      <c r="P6" s="137"/>
      <c r="Q6" s="137"/>
      <c r="R6" s="137"/>
      <c r="S6" s="137"/>
    </row>
    <row r="7" spans="1:19" ht="27.6" customHeight="1" x14ac:dyDescent="0.3">
      <c r="A7" s="4"/>
      <c r="B7" s="131" t="s">
        <v>312</v>
      </c>
      <c r="C7" s="53">
        <f>'Income Statement'!C7</f>
        <v>0</v>
      </c>
      <c r="D7" s="53">
        <f>'Income Statement'!D7</f>
        <v>4.287890966021668E-2</v>
      </c>
      <c r="E7" s="53">
        <f>'Income Statement'!E7</f>
        <v>0.12574722627335411</v>
      </c>
      <c r="F7" s="53">
        <f>'Income Statement'!F7</f>
        <v>8.240523975707581E-2</v>
      </c>
      <c r="G7" s="53">
        <f>'Income Statement'!G7</f>
        <v>0.14630894815008166</v>
      </c>
      <c r="H7" s="53">
        <f>'Income Statement'!H7</f>
        <v>3.5115014795213062E-2</v>
      </c>
      <c r="I7" s="53">
        <f>'Income Statement'!I7</f>
        <v>5.9760513132614657E-2</v>
      </c>
      <c r="J7" s="53">
        <f>'Income Statement'!J7</f>
        <v>8.6167566390001227E-2</v>
      </c>
      <c r="K7" s="53">
        <f>'Income Statement'!K7</f>
        <v>8.4667780113063085E-2</v>
      </c>
      <c r="L7" s="53">
        <f>'Income Statement'!L7</f>
        <v>9.3134319688458422E-2</v>
      </c>
      <c r="M7" s="53">
        <f>'Income Statement'!M7</f>
        <v>0.1024475956456683</v>
      </c>
      <c r="N7" s="53">
        <f>'Income Statement'!N7</f>
        <v>0.11269275107346144</v>
      </c>
      <c r="O7" s="53">
        <f>'Income Statement'!O7</f>
        <v>0.12396166157251676</v>
      </c>
      <c r="P7" s="53">
        <f>'Income Statement'!P7</f>
        <v>0.13635811799075404</v>
      </c>
      <c r="Q7"/>
      <c r="S7" s="53">
        <f>MEDIAN(C7:P7)</f>
        <v>8.9650943039229825E-2</v>
      </c>
    </row>
    <row r="8" spans="1:19" ht="25.8" customHeight="1" x14ac:dyDescent="0.3">
      <c r="A8" s="4"/>
      <c r="B8" s="131" t="s">
        <v>313</v>
      </c>
      <c r="C8" s="8"/>
      <c r="D8" s="88">
        <v>3.980895618054836E-2</v>
      </c>
      <c r="E8" s="88">
        <v>0.179354805568398</v>
      </c>
      <c r="F8" s="88">
        <v>-2.4333761642383656E-2</v>
      </c>
      <c r="G8" s="88">
        <v>0.24800965780995332</v>
      </c>
      <c r="H8" s="88">
        <v>8.4657748630622365E-2</v>
      </c>
      <c r="I8" s="88">
        <v>8.4345163825845226E-3</v>
      </c>
      <c r="J8" s="88">
        <v>0.10115328048168748</v>
      </c>
      <c r="K8" s="88">
        <v>3.7493499702182964E-2</v>
      </c>
      <c r="L8" s="88">
        <v>0.17511944795450263</v>
      </c>
      <c r="M8" s="88">
        <v>5.1171165013478959E-2</v>
      </c>
      <c r="N8" s="88">
        <v>3.1276057106024213E-2</v>
      </c>
      <c r="O8" s="88">
        <v>0.15353979005802376</v>
      </c>
      <c r="P8" s="88">
        <v>0.19463280223631907</v>
      </c>
      <c r="Q8"/>
      <c r="S8" s="53">
        <f>MEDIAN(C8:P8)</f>
        <v>8.4657748630622365E-2</v>
      </c>
    </row>
    <row r="9" spans="1:19" ht="27.6" customHeight="1" x14ac:dyDescent="0.3">
      <c r="A9" s="4"/>
      <c r="B9" s="131" t="s">
        <v>314</v>
      </c>
      <c r="C9" s="8"/>
      <c r="D9" s="53">
        <v>8.6188044767652627E-2</v>
      </c>
      <c r="E9" s="53">
        <v>0.34014558335430412</v>
      </c>
      <c r="F9" s="53">
        <v>-0.14144191385932381</v>
      </c>
      <c r="G9" s="53">
        <v>0.41459086482114271</v>
      </c>
      <c r="H9" s="53">
        <v>-1.454294032872494E-2</v>
      </c>
      <c r="I9" s="53">
        <v>2.3091064646152404E-4</v>
      </c>
      <c r="J9" s="53">
        <v>0.11375351636652287</v>
      </c>
      <c r="K9" s="53">
        <v>7.3101788779551091E-2</v>
      </c>
      <c r="L9" s="53">
        <v>0.37768656702871173</v>
      </c>
      <c r="M9" s="53">
        <v>0.12779628657441533</v>
      </c>
      <c r="N9" s="53">
        <v>0.1035306650914809</v>
      </c>
      <c r="O9" s="53">
        <v>0.32489338944841939</v>
      </c>
      <c r="P9" s="53">
        <v>0.39529552634233678</v>
      </c>
      <c r="Q9"/>
      <c r="S9" s="53">
        <f>MEDIAN(C9:P9)</f>
        <v>0.11375351636652287</v>
      </c>
    </row>
    <row r="10" spans="1:19" ht="27.6" customHeight="1" x14ac:dyDescent="0.3">
      <c r="A10" s="4"/>
      <c r="B10" s="131" t="s">
        <v>315</v>
      </c>
      <c r="C10" s="8"/>
      <c r="D10" s="53">
        <v>9.0708039301753196E-2</v>
      </c>
      <c r="E10" s="53">
        <v>0.35440432151314805</v>
      </c>
      <c r="F10" s="53">
        <v>-0.15295300786249821</v>
      </c>
      <c r="G10" s="53">
        <v>0.27103345925526168</v>
      </c>
      <c r="H10" s="53">
        <v>8.990648451846539E-2</v>
      </c>
      <c r="I10" s="53">
        <v>3.1781896330640436E-3</v>
      </c>
      <c r="J10" s="53">
        <v>0.30879346410952024</v>
      </c>
      <c r="K10" s="53">
        <v>6.6126401387628819E-2</v>
      </c>
      <c r="L10" s="53">
        <v>0.3531154341524898</v>
      </c>
      <c r="M10" s="53">
        <v>0.12246354813471227</v>
      </c>
      <c r="N10" s="53">
        <v>0.10078868064142754</v>
      </c>
      <c r="O10" s="53">
        <v>0.31448217817311153</v>
      </c>
      <c r="P10" s="53">
        <v>0.38542316361923823</v>
      </c>
      <c r="Q10"/>
      <c r="S10" s="53">
        <f>MEDIAN(C10:P10)</f>
        <v>0.12246354813471227</v>
      </c>
    </row>
    <row r="11" spans="1:19" ht="30.6" customHeight="1" x14ac:dyDescent="0.3">
      <c r="A11" s="4"/>
      <c r="B11" s="131" t="s">
        <v>316</v>
      </c>
      <c r="C11" s="8"/>
      <c r="D11" s="53">
        <f>'Income Statement'!D25/'Income Statement'!C25-1</f>
        <v>5.2818833324849601E-2</v>
      </c>
      <c r="E11" s="53">
        <f>'Income Statement'!E25/'Income Statement'!D25-1</f>
        <v>0.35077982711101252</v>
      </c>
      <c r="F11" s="53">
        <f>'Income Statement'!F25/'Income Statement'!E25-1</f>
        <v>-0.17298008925233321</v>
      </c>
      <c r="G11" s="53">
        <f>'Income Statement'!G25/'Income Statement'!F25-1</f>
        <v>0.2779094988241293</v>
      </c>
      <c r="H11" s="53">
        <f>'Income Statement'!H25/'Income Statement'!G25-1</f>
        <v>9.7547390644935561E-2</v>
      </c>
      <c r="I11" s="53">
        <f>'Income Statement'!I25/'Income Statement'!H25-1</f>
        <v>1.1997791775392397E-2</v>
      </c>
      <c r="J11" s="53">
        <f ca="1">'Income Statement'!J25/'Income Statement'!I25-1</f>
        <v>0.32814880643818678</v>
      </c>
      <c r="K11" s="53">
        <f ca="1">'Income Statement'!K25/'Income Statement'!J25-1</f>
        <v>5.2100684955820986E-2</v>
      </c>
      <c r="L11" s="53">
        <f ca="1">'Income Statement'!L25/'Income Statement'!K25-1</f>
        <v>0.34683377659230574</v>
      </c>
      <c r="M11" s="53">
        <f ca="1">'Income Statement'!M25/'Income Statement'!L25-1</f>
        <v>0.10331452248350614</v>
      </c>
      <c r="N11" s="53">
        <f ca="1">'Income Statement'!N25/'Income Statement'!M25-1</f>
        <v>7.148464669036847E-2</v>
      </c>
      <c r="O11" s="53">
        <f ca="1">'Income Statement'!O25/'Income Statement'!N25-1</f>
        <v>0.29058640197231989</v>
      </c>
      <c r="P11" s="53">
        <f ca="1">'Income Statement'!P25/'Income Statement'!O25-1</f>
        <v>0.3613087469129026</v>
      </c>
      <c r="Q11"/>
      <c r="S11" s="53">
        <f ca="1">MEDIAN(C11:P11)</f>
        <v>0.10331452248350614</v>
      </c>
    </row>
    <row r="12" spans="1:19" ht="15" thickBot="1" x14ac:dyDescent="0.35">
      <c r="A12" s="4"/>
      <c r="B12" s="132"/>
      <c r="C12" s="138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</row>
    <row r="13" spans="1:19" ht="15" thickBot="1" x14ac:dyDescent="0.35">
      <c r="A13" s="4"/>
      <c r="C13" s="14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/>
      <c r="S13" s="117"/>
    </row>
    <row r="14" spans="1:19" ht="15" thickBot="1" x14ac:dyDescent="0.35">
      <c r="A14" s="4"/>
      <c r="B14" s="130" t="s">
        <v>317</v>
      </c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</row>
    <row r="15" spans="1:19" ht="28.8" customHeight="1" x14ac:dyDescent="0.3">
      <c r="A15" s="4"/>
      <c r="B15" s="133" t="s">
        <v>318</v>
      </c>
      <c r="C15" s="53">
        <f>('Income Statement'!C10-'Income Statement'!C17)/'Income Statement'!C10</f>
        <v>0.40645356215970252</v>
      </c>
      <c r="D15" s="53">
        <f>('Income Statement'!D10-'Income Statement'!D17)/'Income Statement'!D10</f>
        <v>0.40278114237190238</v>
      </c>
      <c r="E15" s="53">
        <f>('Income Statement'!E10-'Income Statement'!E17)/'Income Statement'!E10</f>
        <v>0.41945655268594889</v>
      </c>
      <c r="F15" s="53">
        <f>('Income Statement'!F10-'Income Statement'!F17)/'Income Statement'!F10</f>
        <v>0.3802957783741952</v>
      </c>
      <c r="G15" s="53">
        <f>('Income Statement'!G10-'Income Statement'!G17)/'Income Statement'!G10</f>
        <v>0.41159654122100164</v>
      </c>
      <c r="H15" s="53">
        <f>('Income Statement'!H10-'Income Statement'!H17)/'Income Statement'!H10</f>
        <v>0.43396283797684704</v>
      </c>
      <c r="I15" s="53">
        <f>('Income Statement'!I10-'Income Statement'!I17)/'Income Statement'!I10</f>
        <v>0.40900378817645311</v>
      </c>
      <c r="J15" s="53">
        <f>('Income Statement'!J10-'Income Statement'!J17)/'Income Statement'!J10</f>
        <v>0.41818772245810065</v>
      </c>
      <c r="K15" s="53">
        <f>('Income Statement'!K10-'Income Statement'!K17)/'Income Statement'!K10</f>
        <v>0.39999999999999997</v>
      </c>
      <c r="L15" s="53">
        <f>('Income Statement'!L10-'Income Statement'!L17)/'Income Statement'!L10</f>
        <v>0.43000000000000005</v>
      </c>
      <c r="M15" s="53">
        <f>('Income Statement'!M10-'Income Statement'!M17)/'Income Statement'!M10</f>
        <v>0.41000000000000003</v>
      </c>
      <c r="N15" s="53">
        <f>('Income Statement'!N10-'Income Statement'!N17)/'Income Statement'!N10</f>
        <v>0.38</v>
      </c>
      <c r="O15" s="53">
        <f>('Income Statement'!O10-'Income Statement'!O17)/'Income Statement'!O10</f>
        <v>0.39</v>
      </c>
      <c r="P15" s="53">
        <f>('Income Statement'!P10-'Income Statement'!P17)/'Income Statement'!P10</f>
        <v>0.41000000000000009</v>
      </c>
      <c r="Q15"/>
      <c r="S15" s="53">
        <f>MEDIAN(C15:P15)</f>
        <v>0.40950189408822657</v>
      </c>
    </row>
    <row r="16" spans="1:19" ht="28.8" customHeight="1" x14ac:dyDescent="0.3">
      <c r="A16" s="4"/>
      <c r="B16" s="133" t="s">
        <v>319</v>
      </c>
      <c r="C16" s="53">
        <f>('Income Statement'!C27+'Income Statement'!C19+'Income Statement'!C20)/'Income Statement'!C10</f>
        <v>0.17539193842964104</v>
      </c>
      <c r="D16" s="53">
        <f>('Income Statement'!D27+'Income Statement'!D19+'Income Statement'!D20)/'Income Statement'!D10</f>
        <v>0.18155962946838466</v>
      </c>
      <c r="E16" s="53">
        <f>('Income Statement'!E27+'Income Statement'!E19+'Income Statement'!E20)/'Income Statement'!E10</f>
        <v>0.21485459198820958</v>
      </c>
      <c r="F16" s="53">
        <f>('Income Statement'!F27+'Income Statement'!F19+'Income Statement'!F20)/'Income Statement'!F10</f>
        <v>0.1714145042606742</v>
      </c>
      <c r="G16" s="53">
        <f>('Income Statement'!G27+'Income Statement'!G19+'Income Statement'!G20)/'Income Statement'!G10</f>
        <v>0.21028615598860148</v>
      </c>
      <c r="H16" s="53">
        <f>('Income Statement'!H27+'Income Statement'!H19+'Income Statement'!H20)/'Income Statement'!H10</f>
        <v>0.20143572141184446</v>
      </c>
      <c r="I16" s="53">
        <f>('Income Statement'!I27+'Income Statement'!I19+'Income Statement'!I20)/'Income Statement'!I10</f>
        <v>0.18830586529206647</v>
      </c>
      <c r="J16" s="53">
        <f ca="1">('Income Statement'!J27+'Income Statement'!J19+'Income Statement'!J20)/'Income Statement'!J10</f>
        <v>0.19473728308228488</v>
      </c>
      <c r="K16" s="53">
        <f ca="1">('Income Statement'!K27+'Income Statement'!K19+'Income Statement'!K20)/'Income Statement'!K10</f>
        <v>0.19266079767929734</v>
      </c>
      <c r="L16" s="53">
        <f ca="1">('Income Statement'!L27+'Income Statement'!L19+'Income Statement'!L20)/'Income Statement'!L10</f>
        <v>0.24281204597895203</v>
      </c>
      <c r="M16" s="53">
        <f ca="1">('Income Statement'!M27+'Income Statement'!M19+'Income Statement'!M20)/'Income Statement'!M10</f>
        <v>0.24839500065205297</v>
      </c>
      <c r="N16" s="53">
        <f ca="1">('Income Statement'!N27+'Income Statement'!N19+'Income Statement'!N20)/'Income Statement'!N10</f>
        <v>0.24634971352227431</v>
      </c>
      <c r="O16" s="53">
        <f ca="1">('Income Statement'!O27+'Income Statement'!O19+'Income Statement'!O20)/'Income Statement'!O10</f>
        <v>0.29038984542911483</v>
      </c>
      <c r="P16" s="53">
        <f ca="1">('Income Statement'!P27+'Income Statement'!P19+'Income Statement'!P20)/'Income Statement'!P10</f>
        <v>0.35655985264160028</v>
      </c>
      <c r="Q16"/>
      <c r="S16" s="53">
        <f ca="1">MEDIAN(C16:P16)</f>
        <v>0.20586093870022298</v>
      </c>
    </row>
    <row r="17" spans="1:19" ht="28.8" customHeight="1" x14ac:dyDescent="0.3">
      <c r="A17" s="4"/>
      <c r="B17" s="133" t="s">
        <v>320</v>
      </c>
      <c r="C17" s="53">
        <f>('Income Statement'!C25+'Income Statement'!C19)/'Income Statement'!C10</f>
        <v>0.16074835341082094</v>
      </c>
      <c r="D17" s="53">
        <f>('Income Statement'!D25+'Income Statement'!D19)/'Income Statement'!D10</f>
        <v>0.16709355104292847</v>
      </c>
      <c r="E17" s="53">
        <f>('Income Statement'!E25+'Income Statement'!E19)/'Income Statement'!E10</f>
        <v>0.19983952667983135</v>
      </c>
      <c r="F17" s="53">
        <f>('Income Statement'!F25+'Income Statement'!F19)/'Income Statement'!F10</f>
        <v>0.15729761620117333</v>
      </c>
      <c r="G17" s="53">
        <f>('Income Statement'!G25+'Income Statement'!G19)/'Income Statement'!G10</f>
        <v>0.17338494713368557</v>
      </c>
      <c r="H17" s="53">
        <f>('Income Statement'!H25+'Income Statement'!H19)/'Income Statement'!H10</f>
        <v>0.18369135925415961</v>
      </c>
      <c r="I17" s="53">
        <f>('Income Statement'!I25+'Income Statement'!I19)/'Income Statement'!I10</f>
        <v>0.1722240892799122</v>
      </c>
      <c r="J17" s="53">
        <f ca="1">('Income Statement'!J25+'Income Statement'!J19)/'Income Statement'!J10</f>
        <v>0.20929612383596233</v>
      </c>
      <c r="K17" s="53">
        <f ca="1">('Income Statement'!K25+'Income Statement'!K19)/'Income Statement'!K10</f>
        <v>0.20571843523662856</v>
      </c>
      <c r="L17" s="53">
        <f ca="1">('Income Statement'!L25+'Income Statement'!L19)/'Income Statement'!L10</f>
        <v>0.25464462320395154</v>
      </c>
      <c r="M17" s="53">
        <f ca="1">('Income Statement'!M25+'Income Statement'!M19)/'Income Statement'!M10</f>
        <v>0.25926788135075879</v>
      </c>
      <c r="N17" s="53">
        <f ca="1">('Income Statement'!N25+'Income Statement'!N19)/'Income Statement'!N10</f>
        <v>0.25649415853097002</v>
      </c>
      <c r="O17" s="53">
        <f ca="1">('Income Statement'!O25+'Income Statement'!O19)/'Income Statement'!O10</f>
        <v>0.29997192625124797</v>
      </c>
      <c r="P17" s="53">
        <f ca="1">('Income Statement'!P25+'Income Statement'!P19)/'Income Statement'!P10</f>
        <v>0.36571929231986083</v>
      </c>
      <c r="Q17"/>
      <c r="S17" s="53">
        <f ca="1">MEDIAN(C17:P17)</f>
        <v>0.20277898095822994</v>
      </c>
    </row>
    <row r="18" spans="1:19" ht="26.4" customHeight="1" x14ac:dyDescent="0.3">
      <c r="A18" s="4"/>
      <c r="B18" s="133" t="s">
        <v>321</v>
      </c>
      <c r="C18" s="53">
        <f>'Income Statement'!C25/'Income Statement'!C10</f>
        <v>0.15992607649075005</v>
      </c>
      <c r="D18" s="53">
        <f>'Income Statement'!D25/'Income Statement'!D10</f>
        <v>0.16046398351660202</v>
      </c>
      <c r="E18" s="53">
        <f>'Income Statement'!E25/'Income Statement'!E10</f>
        <v>0.1913971684223828</v>
      </c>
      <c r="F18" s="53">
        <f>'Income Statement'!F25/'Income Statement'!F10</f>
        <v>0.14709053172479838</v>
      </c>
      <c r="G18" s="53">
        <f>'Income Statement'!G25/'Income Statement'!G10</f>
        <v>0.16301106404385118</v>
      </c>
      <c r="H18" s="53">
        <f>'Income Statement'!H25/'Income Statement'!H10</f>
        <v>0.17391156561973187</v>
      </c>
      <c r="I18" s="53">
        <f>'Income Statement'!I25/'Income Statement'!I10</f>
        <v>0.164488339806729</v>
      </c>
      <c r="J18" s="53">
        <f ca="1">'Income Statement'!J25/'Income Statement'!J10</f>
        <v>0.20285140703337509</v>
      </c>
      <c r="K18" s="53">
        <f ca="1">'Income Statement'!K25/'Income Statement'!K10</f>
        <v>0.19676083480441672</v>
      </c>
      <c r="L18" s="53">
        <f ca="1">'Income Statement'!L25/'Income Statement'!L10</f>
        <v>0.24242595004946144</v>
      </c>
      <c r="M18" s="53">
        <f ca="1">'Income Statement'!M25/'Income Statement'!M10</f>
        <v>0.24261653891217941</v>
      </c>
      <c r="N18" s="53">
        <f ca="1">'Income Statement'!N25/'Income Statement'!N10</f>
        <v>0.23363137248997989</v>
      </c>
      <c r="O18" s="53">
        <f ca="1">'Income Statement'!O25/'Income Statement'!O10</f>
        <v>0.26826664382670412</v>
      </c>
      <c r="P18" s="53">
        <f ca="1">'Income Statement'!P25/'Income Statement'!P10</f>
        <v>0.32137206642327193</v>
      </c>
      <c r="Q18"/>
      <c r="S18" s="53">
        <f ca="1">MEDIAN(C18:P18)</f>
        <v>0.19407900161339975</v>
      </c>
    </row>
    <row r="19" spans="1:19" ht="28.2" customHeight="1" thickBot="1" x14ac:dyDescent="0.35">
      <c r="A19" s="4"/>
      <c r="B19" s="134" t="s">
        <v>322</v>
      </c>
      <c r="C19" s="139">
        <f>'Income Statement'!C31/'Income Statement'!C27</f>
        <v>0.34643339951242424</v>
      </c>
      <c r="D19" s="139">
        <f>'Income Statement'!D31/'Income Statement'!D27</f>
        <v>0.24437455945345105</v>
      </c>
      <c r="E19" s="139">
        <f>'Income Statement'!E31/'Income Statement'!E27</f>
        <v>0.26377202509538078</v>
      </c>
      <c r="F19" s="139">
        <f>'Income Statement'!F31/'Income Statement'!F27</f>
        <v>0.27057781969177197</v>
      </c>
      <c r="G19" s="139">
        <f>'Income Statement'!G31/'Income Statement'!G27</f>
        <v>0.23623618012575978</v>
      </c>
      <c r="H19" s="139">
        <f>'Income Statement'!H31/'Income Statement'!H27</f>
        <v>0.26746456973986338</v>
      </c>
      <c r="I19" s="139">
        <f>'Income Statement'!I31/'Income Statement'!I27</f>
        <v>0.25583191244357706</v>
      </c>
      <c r="J19" s="139">
        <f ca="1">'Income Statement'!J31/'Income Statement'!J27</f>
        <v>0.25752762050024286</v>
      </c>
      <c r="K19" s="139">
        <f ca="1">'Income Statement'!K31/'Income Statement'!K27</f>
        <v>0.2575276205002428</v>
      </c>
      <c r="L19" s="139">
        <f ca="1">'Income Statement'!L31/'Income Statement'!L27</f>
        <v>0.25752762050024308</v>
      </c>
      <c r="M19" s="139">
        <f ca="1">'Income Statement'!M31/'Income Statement'!M27</f>
        <v>0.25752762050024319</v>
      </c>
      <c r="N19" s="139">
        <f ca="1">'Income Statement'!N31/'Income Statement'!N27</f>
        <v>0.25752762050024319</v>
      </c>
      <c r="O19" s="139">
        <f ca="1">'Income Statement'!O31/'Income Statement'!O27</f>
        <v>0.25752762050024308</v>
      </c>
      <c r="P19" s="139">
        <f ca="1">'Income Statement'!P31/'Income Statement'!P27</f>
        <v>0.25752762050024286</v>
      </c>
      <c r="Q19"/>
      <c r="S19" s="53">
        <f ca="1">MEDIAN(C19:P19)</f>
        <v>0.25752762050024308</v>
      </c>
    </row>
    <row r="20" spans="1:19" ht="15" thickBot="1" x14ac:dyDescent="0.35">
      <c r="A20" s="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ht="15" thickBot="1" x14ac:dyDescent="0.35">
      <c r="A21" s="4"/>
      <c r="B21" s="130" t="s">
        <v>323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</row>
    <row r="22" spans="1:19" ht="27.6" customHeight="1" x14ac:dyDescent="0.3">
      <c r="A22" s="4"/>
      <c r="B22" s="133" t="s">
        <v>324</v>
      </c>
      <c r="C22" s="8">
        <f>'Balance Sheet'!C34/'Balance Sheet'!C67</f>
        <v>1.9046780561842054</v>
      </c>
      <c r="D22" s="8">
        <f>'Balance Sheet'!D34/'Balance Sheet'!D67</f>
        <v>1.4252577119676084</v>
      </c>
      <c r="E22" s="8">
        <f>'Balance Sheet'!E34/'Balance Sheet'!E67</f>
        <v>1.2228416803393216</v>
      </c>
      <c r="F22" s="8">
        <f>'Balance Sheet'!F34/'Balance Sheet'!F67</f>
        <v>0.96025212556122996</v>
      </c>
      <c r="G22" s="8">
        <f>'Balance Sheet'!G34/'Balance Sheet'!G67</f>
        <v>1.147985197368421</v>
      </c>
      <c r="H22" s="8">
        <f>'Balance Sheet'!H34/'Balance Sheet'!H67</f>
        <v>1.1871139283274694</v>
      </c>
      <c r="I22" s="8">
        <f>'Balance Sheet'!I34/'Balance Sheet'!I67</f>
        <v>1.081646979487378</v>
      </c>
      <c r="J22" s="8">
        <f ca="1">'Balance Sheet'!J34/'Balance Sheet'!J67</f>
        <v>1.4353612418473392</v>
      </c>
      <c r="K22" s="8">
        <f ca="1">'Balance Sheet'!K34/'Balance Sheet'!K67</f>
        <v>1.6768314385291607</v>
      </c>
      <c r="L22" s="8">
        <f ca="1">'Balance Sheet'!L34/'Balance Sheet'!L67</f>
        <v>2.026272923230501</v>
      </c>
      <c r="M22" s="8">
        <f ca="1">'Balance Sheet'!M34/'Balance Sheet'!M67</f>
        <v>2.0819823270423115</v>
      </c>
      <c r="N22" s="8">
        <f ca="1">'Balance Sheet'!N34/'Balance Sheet'!N67</f>
        <v>2.0856177622026628</v>
      </c>
      <c r="O22" s="8">
        <f ca="1">'Balance Sheet'!O34/'Balance Sheet'!O67</f>
        <v>2.0056338409774872</v>
      </c>
      <c r="P22" s="8">
        <f ca="1">'Balance Sheet'!P34/'Balance Sheet'!P67</f>
        <v>1.9362629374725353</v>
      </c>
      <c r="S22" s="143">
        <f ca="1">MEDIAN(C22:P22)</f>
        <v>1.5560963401882499</v>
      </c>
    </row>
    <row r="23" spans="1:19" s="8" customFormat="1" ht="25.8" customHeight="1" thickBot="1" x14ac:dyDescent="0.35">
      <c r="B23" s="134" t="s">
        <v>325</v>
      </c>
      <c r="C23" s="138">
        <f>('Balance Sheet'!C34-'Balance Sheet'!C24)/'Balance Sheet'!C67</f>
        <v>1.4826321560324291</v>
      </c>
      <c r="D23" s="138">
        <f>('Balance Sheet'!D34-'Balance Sheet'!D24)/'Balance Sheet'!D67</f>
        <v>1.1378923853773182</v>
      </c>
      <c r="E23" s="138">
        <f>('Balance Sheet'!E34-'Balance Sheet'!E24)/'Balance Sheet'!E67</f>
        <v>0.92084708668693827</v>
      </c>
      <c r="F23" s="138">
        <f>('Balance Sheet'!F34-'Balance Sheet'!F24)/'Balance Sheet'!F67</f>
        <v>0.63050921840111485</v>
      </c>
      <c r="G23" s="138">
        <f>('Balance Sheet'!G34-'Balance Sheet'!G24)/'Balance Sheet'!G67</f>
        <v>0.85936774380804948</v>
      </c>
      <c r="H23" s="138">
        <f>('Balance Sheet'!H34-'Balance Sheet'!H24)/'Balance Sheet'!H67</f>
        <v>0.89791181590486735</v>
      </c>
      <c r="I23" s="138">
        <f>('Balance Sheet'!I34-'Balance Sheet'!I24)/'Balance Sheet'!I67</f>
        <v>0.73990536887896385</v>
      </c>
      <c r="J23" s="138">
        <f ca="1">('Balance Sheet'!J34-'Balance Sheet'!J24)/'Balance Sheet'!J67</f>
        <v>1.0618245773084711</v>
      </c>
      <c r="K23" s="138">
        <f ca="1">('Balance Sheet'!K34-'Balance Sheet'!K24)/'Balance Sheet'!K67</f>
        <v>1.3524303860416527</v>
      </c>
      <c r="L23" s="138">
        <f ca="1">('Balance Sheet'!L34-'Balance Sheet'!L24)/'Balance Sheet'!L67</f>
        <v>1.7421997300006067</v>
      </c>
      <c r="M23" s="138">
        <f ca="1">('Balance Sheet'!M34-'Balance Sheet'!M24)/'Balance Sheet'!M67</f>
        <v>1.8403119563527839</v>
      </c>
      <c r="N23" s="138">
        <f ca="1">('Balance Sheet'!N34-'Balance Sheet'!N24)/'Balance Sheet'!N67</f>
        <v>1.8891096222280253</v>
      </c>
      <c r="O23" s="138">
        <f ca="1">('Balance Sheet'!O34-'Balance Sheet'!O24)/'Balance Sheet'!O67</f>
        <v>1.8609873354335853</v>
      </c>
      <c r="P23" s="138">
        <f ca="1">('Balance Sheet'!P34-'Balance Sheet'!P24)/'Balance Sheet'!P67</f>
        <v>1.8283738472074806</v>
      </c>
      <c r="R23" s="4"/>
      <c r="S23" s="143">
        <f ca="1">MEDIAN(C23:P23)</f>
        <v>1.2451613857094854</v>
      </c>
    </row>
    <row r="24" spans="1:19" ht="15" thickBot="1" x14ac:dyDescent="0.35">
      <c r="A24" s="4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40"/>
      <c r="R24" s="140"/>
      <c r="S24" s="140"/>
    </row>
    <row r="25" spans="1:19" ht="15" thickBot="1" x14ac:dyDescent="0.35">
      <c r="A25" s="4"/>
      <c r="B25" s="135" t="s">
        <v>326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</row>
    <row r="26" spans="1:19" ht="27.6" customHeight="1" x14ac:dyDescent="0.3">
      <c r="A26" s="4"/>
      <c r="B26" s="136" t="s">
        <v>256</v>
      </c>
      <c r="C26" s="8">
        <f>'Working Capital Schedule'!C30</f>
        <v>0</v>
      </c>
      <c r="D26" s="8">
        <f>'Working Capital Schedule'!D30</f>
        <v>32.464455639518611</v>
      </c>
      <c r="E26" s="8">
        <f>'Working Capital Schedule'!E30</f>
        <v>45.482886969167119</v>
      </c>
      <c r="F26" s="8">
        <f>'Working Capital Schedule'!F30</f>
        <v>47.984589273591304</v>
      </c>
      <c r="G26" s="8">
        <f>'Working Capital Schedule'!G30</f>
        <v>49.330579387776716</v>
      </c>
      <c r="H26" s="8">
        <f>'Working Capital Schedule'!H30</f>
        <v>46.434906613870162</v>
      </c>
      <c r="I26" s="8">
        <f>'Working Capital Schedule'!I30</f>
        <v>42.622205857899615</v>
      </c>
      <c r="J26" s="8">
        <f>'Working Capital Schedule'!J30</f>
        <v>44.053270623637253</v>
      </c>
      <c r="K26" s="8">
        <f>'Working Capital Schedule'!K30</f>
        <v>44.053270623637253</v>
      </c>
      <c r="L26" s="8">
        <f>'Working Capital Schedule'!L30</f>
        <v>44.053270623637253</v>
      </c>
      <c r="M26" s="8">
        <f>'Working Capital Schedule'!M30</f>
        <v>44.053270623637253</v>
      </c>
      <c r="N26" s="8">
        <f>'Working Capital Schedule'!N30</f>
        <v>44.053270623637253</v>
      </c>
      <c r="O26" s="8">
        <f>'Working Capital Schedule'!O30</f>
        <v>44.053270623637253</v>
      </c>
      <c r="P26" s="8">
        <f>'Working Capital Schedule'!P30</f>
        <v>44.053270623637253</v>
      </c>
      <c r="S26" s="143">
        <f>MEDIAN(C26:P26)</f>
        <v>44.053270623637253</v>
      </c>
    </row>
    <row r="27" spans="1:19" ht="27.6" customHeight="1" x14ac:dyDescent="0.3">
      <c r="A27" s="4"/>
      <c r="B27" s="133" t="s">
        <v>261</v>
      </c>
      <c r="C27" s="8">
        <f>'Working Capital Schedule'!C43</f>
        <v>0</v>
      </c>
      <c r="D27" s="8">
        <f>'Working Capital Schedule'!D43</f>
        <v>0.89027250161142113</v>
      </c>
      <c r="E27" s="8">
        <f>'Working Capital Schedule'!E43</f>
        <v>0.98307610881761409</v>
      </c>
      <c r="F27" s="8">
        <f>'Working Capital Schedule'!F43</f>
        <v>1.0324618207737455</v>
      </c>
      <c r="G27" s="8">
        <f>'Working Capital Schedule'!G43</f>
        <v>0.96487252942322554</v>
      </c>
      <c r="H27" s="8">
        <f>'Working Capital Schedule'!H43</f>
        <v>0.61208793709305687</v>
      </c>
      <c r="I27" s="8">
        <f>'Working Capital Schedule'!I43</f>
        <v>0.47894641847969205</v>
      </c>
      <c r="J27" s="8">
        <f>'Working Capital Schedule'!J43</f>
        <v>0.82695288603312589</v>
      </c>
      <c r="K27" s="8">
        <f>'Working Capital Schedule'!K43</f>
        <v>0.82695288603312589</v>
      </c>
      <c r="L27" s="8">
        <f>'Working Capital Schedule'!L43</f>
        <v>0.82695288603312589</v>
      </c>
      <c r="M27" s="8">
        <f>'Working Capital Schedule'!M43</f>
        <v>0.82695288603312589</v>
      </c>
      <c r="N27" s="8">
        <f>'Working Capital Schedule'!N43</f>
        <v>0.82695288603312589</v>
      </c>
      <c r="O27" s="8">
        <f>'Working Capital Schedule'!O43</f>
        <v>0.82695288603312589</v>
      </c>
      <c r="P27" s="8">
        <f>'Working Capital Schedule'!P43</f>
        <v>0.82695288603312589</v>
      </c>
      <c r="S27" s="143">
        <f>MEDIAN(C27:P27)</f>
        <v>0.82695288603312589</v>
      </c>
    </row>
    <row r="28" spans="1:19" ht="27.6" customHeight="1" x14ac:dyDescent="0.3">
      <c r="A28" s="4"/>
      <c r="B28" s="133" t="s">
        <v>268</v>
      </c>
      <c r="C28" s="8">
        <f>'Working Capital Schedule'!C17</f>
        <v>0</v>
      </c>
      <c r="D28" s="8">
        <f>'Working Capital Schedule'!D17</f>
        <v>9.101081230211383</v>
      </c>
      <c r="E28" s="8">
        <f>'Working Capital Schedule'!E17</f>
        <v>8.3233921798684829</v>
      </c>
      <c r="F28" s="8">
        <f>'Working Capital Schedule'!F17</f>
        <v>7.1251494522118923</v>
      </c>
      <c r="G28" s="8">
        <f>'Working Capital Schedule'!G17</f>
        <v>7.4910084936053902</v>
      </c>
      <c r="H28" s="8">
        <f>'Working Capital Schedule'!H17</f>
        <v>7.995038913783227</v>
      </c>
      <c r="I28" s="8">
        <f>'Working Capital Schedule'!I17</f>
        <v>8.7719058786547723</v>
      </c>
      <c r="J28" s="8">
        <f>'Working Capital Schedule'!J17</f>
        <v>8.1345960247225246</v>
      </c>
      <c r="K28" s="8">
        <f>'Working Capital Schedule'!K17</f>
        <v>7.9735151571410476</v>
      </c>
      <c r="L28" s="8">
        <f>'Working Capital Schedule'!L17</f>
        <v>7.9152023200198087</v>
      </c>
      <c r="M28" s="8">
        <f>'Working Capital Schedule'!M17</f>
        <v>8.0468777979877952</v>
      </c>
      <c r="N28" s="8">
        <f>'Working Capital Schedule'!N17</f>
        <v>8.1395226820515294</v>
      </c>
      <c r="O28" s="8">
        <f>'Working Capital Schedule'!O17</f>
        <v>8.1636033100962475</v>
      </c>
      <c r="P28" s="8">
        <f>'Working Capital Schedule'!P17</f>
        <v>8.0622195486698249</v>
      </c>
      <c r="S28" s="143">
        <f>MEDIAN(C28:P28)</f>
        <v>8.0545486733288101</v>
      </c>
    </row>
    <row r="29" spans="1:19" ht="26.4" customHeight="1" x14ac:dyDescent="0.3">
      <c r="A29" s="4"/>
      <c r="B29" s="133" t="s">
        <v>327</v>
      </c>
      <c r="C29" s="8">
        <f>'Income Statement'!C10/'Balance Sheet'!C44</f>
        <v>2.5792931755768289</v>
      </c>
      <c r="D29" s="8">
        <f>'Income Statement'!D10/'Balance Sheet'!D44</f>
        <v>2.613405940772517</v>
      </c>
      <c r="E29" s="8">
        <f>'Income Statement'!E10/'Balance Sheet'!E44</f>
        <v>3.6652176339285711</v>
      </c>
      <c r="F29" s="8">
        <f>'Income Statement'!F10/'Balance Sheet'!F44</f>
        <v>5.4673035272277222</v>
      </c>
      <c r="G29" s="8">
        <f>'Income Statement'!G10/'Balance Sheet'!G44</f>
        <v>4.5730256697994109</v>
      </c>
      <c r="H29" s="8">
        <f>'Income Statement'!H10/'Balance Sheet'!H44</f>
        <v>4.2282363679456987</v>
      </c>
      <c r="I29" s="8">
        <f>'Income Statement'!I10/'Balance Sheet'!I44</f>
        <v>4.0952658103037436</v>
      </c>
      <c r="J29" s="8">
        <f ca="1">'Income Statement'!J10/'Balance Sheet'!J44</f>
        <v>3.541956771721567</v>
      </c>
      <c r="K29" s="8">
        <f ca="1">'Income Statement'!K10/'Balance Sheet'!K44</f>
        <v>3.1369270039061523</v>
      </c>
      <c r="L29" s="8">
        <f ca="1">'Income Statement'!L10/'Balance Sheet'!L44</f>
        <v>2.5543873620646038</v>
      </c>
      <c r="M29" s="8">
        <f ca="1">'Income Statement'!M10/'Balance Sheet'!M44</f>
        <v>2.1619189126776024</v>
      </c>
      <c r="N29" s="8">
        <f ca="1">'Income Statement'!N10/'Balance Sheet'!N44</f>
        <v>1.9089652693998578</v>
      </c>
      <c r="O29" s="8">
        <f ca="1">'Income Statement'!O10/'Balance Sheet'!O44</f>
        <v>1.647097526534012</v>
      </c>
      <c r="P29" s="8">
        <f ca="1">'Income Statement'!P10/'Balance Sheet'!P44</f>
        <v>1.3855428319608722</v>
      </c>
      <c r="S29" s="143">
        <f ca="1">MEDIAN(C29:P29)</f>
        <v>2.8751664723393349</v>
      </c>
    </row>
    <row r="30" spans="1:19" ht="15" thickBot="1" x14ac:dyDescent="0.35">
      <c r="A30" s="4"/>
      <c r="B30" s="134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S30" s="143"/>
    </row>
    <row r="31" spans="1:19" ht="15" thickBot="1" x14ac:dyDescent="0.35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144"/>
      <c r="R31" s="144"/>
      <c r="S31" s="144"/>
    </row>
    <row r="32" spans="1:19" ht="15" thickBot="1" x14ac:dyDescent="0.35">
      <c r="A32" s="4"/>
      <c r="B32" s="135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</row>
    <row r="33" spans="1:19" ht="27.6" customHeight="1" x14ac:dyDescent="0.3">
      <c r="A33" s="4"/>
      <c r="B33" s="136" t="s">
        <v>328</v>
      </c>
      <c r="C33" s="141">
        <f>'Working Capital Schedule'!C32</f>
        <v>0</v>
      </c>
      <c r="D33" s="141">
        <f>'Working Capital Schedule'!D32</f>
        <v>11.243065463746438</v>
      </c>
      <c r="E33" s="141">
        <f>'Working Capital Schedule'!E32</f>
        <v>8.0249963078956217</v>
      </c>
      <c r="F33" s="141">
        <f>'Working Capital Schedule'!F32</f>
        <v>7.6066088201546957</v>
      </c>
      <c r="G33" s="141">
        <f>'Working Capital Schedule'!G32</f>
        <v>7.3990616881025488</v>
      </c>
      <c r="H33" s="141">
        <f>'Working Capital Schedule'!H32</f>
        <v>7.8604658998274815</v>
      </c>
      <c r="I33" s="141">
        <f>'Working Capital Schedule'!I32</f>
        <v>8.5636112128239557</v>
      </c>
      <c r="J33" s="141">
        <f>'Working Capital Schedule'!J32</f>
        <v>8.2854234165341492</v>
      </c>
      <c r="K33" s="141">
        <f>'Working Capital Schedule'!K32</f>
        <v>8.2854234165341492</v>
      </c>
      <c r="L33" s="141">
        <f>'Working Capital Schedule'!L32</f>
        <v>8.2854234165341492</v>
      </c>
      <c r="M33" s="141">
        <f>'Working Capital Schedule'!M32</f>
        <v>8.2854234165341492</v>
      </c>
      <c r="N33" s="141">
        <f>'Working Capital Schedule'!N32</f>
        <v>8.2854234165341492</v>
      </c>
      <c r="O33" s="141">
        <f>'Working Capital Schedule'!O32</f>
        <v>8.2854234165341492</v>
      </c>
      <c r="P33" s="141">
        <f>'Working Capital Schedule'!P32</f>
        <v>8.2854234165341492</v>
      </c>
      <c r="S33" s="143">
        <f>MEDIAN(C33:P33)</f>
        <v>8.2854234165341492</v>
      </c>
    </row>
    <row r="34" spans="1:19" ht="25.8" customHeight="1" x14ac:dyDescent="0.3">
      <c r="A34" s="4"/>
      <c r="B34" s="133" t="s">
        <v>329</v>
      </c>
      <c r="C34" s="141">
        <f>'Working Capital Schedule'!C45</f>
        <v>0</v>
      </c>
      <c r="D34" s="141">
        <f>'Working Capital Schedule'!D45</f>
        <v>409.9868291330335</v>
      </c>
      <c r="E34" s="141">
        <f>'Working Capital Schedule'!E45</f>
        <v>371.28356261144467</v>
      </c>
      <c r="F34" s="141">
        <f>'Working Capital Schedule'!F45</f>
        <v>353.52396830176485</v>
      </c>
      <c r="G34" s="141">
        <f>'Working Capital Schedule'!G45</f>
        <v>378.28831153290997</v>
      </c>
      <c r="H34" s="141">
        <f>'Working Capital Schedule'!H45</f>
        <v>596.31954475931514</v>
      </c>
      <c r="I34" s="141">
        <f>'Working Capital Schedule'!I45</f>
        <v>762.08942361154016</v>
      </c>
      <c r="J34" s="141">
        <f>'Working Capital Schedule'!J45</f>
        <v>441.37943789143378</v>
      </c>
      <c r="K34" s="141">
        <f>'Working Capital Schedule'!K45</f>
        <v>441.37943789143378</v>
      </c>
      <c r="L34" s="141">
        <f>'Working Capital Schedule'!L45</f>
        <v>441.37943789143378</v>
      </c>
      <c r="M34" s="141">
        <f>'Working Capital Schedule'!M45</f>
        <v>441.37943789143378</v>
      </c>
      <c r="N34" s="141">
        <f>'Working Capital Schedule'!N45</f>
        <v>441.37943789143378</v>
      </c>
      <c r="O34" s="141">
        <f>'Working Capital Schedule'!O45</f>
        <v>441.37943789143378</v>
      </c>
      <c r="P34" s="141">
        <f>'Working Capital Schedule'!P45</f>
        <v>441.37943789143378</v>
      </c>
      <c r="S34" s="143">
        <f>MEDIAN(C34:P34)</f>
        <v>441.37943789143378</v>
      </c>
    </row>
    <row r="35" spans="1:19" ht="25.8" customHeight="1" x14ac:dyDescent="0.3">
      <c r="A35" s="4"/>
      <c r="B35" s="133" t="s">
        <v>330</v>
      </c>
      <c r="C35" s="141">
        <f>'Working Capital Schedule'!C19</f>
        <v>0</v>
      </c>
      <c r="D35" s="141">
        <f>'Working Capital Schedule'!D19</f>
        <v>40.105124959039891</v>
      </c>
      <c r="E35" s="141">
        <f>'Working Capital Schedule'!E19</f>
        <v>43.852313108928541</v>
      </c>
      <c r="F35" s="141">
        <f>'Working Capital Schedule'!F19</f>
        <v>51.226995650833878</v>
      </c>
      <c r="G35" s="141">
        <f>'Working Capital Schedule'!G19</f>
        <v>48.72508158435248</v>
      </c>
      <c r="H35" s="141">
        <f>'Working Capital Schedule'!H19</f>
        <v>45.653311251650074</v>
      </c>
      <c r="I35" s="141">
        <f>'Working Capital Schedule'!I19</f>
        <v>41.610113588676022</v>
      </c>
      <c r="J35" s="141">
        <f>'Working Capital Schedule'!J19</f>
        <v>44.870083147423458</v>
      </c>
      <c r="K35" s="141">
        <f>'Working Capital Schedule'!K19</f>
        <v>45.776548085333168</v>
      </c>
      <c r="L35" s="141">
        <f>'Working Capital Schedule'!L19</f>
        <v>46.113792830893367</v>
      </c>
      <c r="M35" s="141">
        <f>'Working Capital Schedule'!M19</f>
        <v>45.359207529070716</v>
      </c>
      <c r="N35" s="141">
        <f>'Working Capital Schedule'!N19</f>
        <v>44.84292436519182</v>
      </c>
      <c r="O35" s="141">
        <f>'Working Capital Schedule'!O19</f>
        <v>44.710648733824463</v>
      </c>
      <c r="P35" s="141">
        <f>'Working Capital Schedule'!P19</f>
        <v>45.27289263168489</v>
      </c>
      <c r="S35" s="143">
        <f>MEDIAN(C35:P35)</f>
        <v>45.071487889554177</v>
      </c>
    </row>
    <row r="36" spans="1:19" ht="28.8" customHeight="1" thickBot="1" x14ac:dyDescent="0.35">
      <c r="A36" s="4"/>
      <c r="B36" s="134" t="s">
        <v>331</v>
      </c>
      <c r="C36" s="138">
        <f>C35+C33-C34</f>
        <v>0</v>
      </c>
      <c r="D36" s="142">
        <f t="shared" ref="D36:P36" si="0">D35+D33-D34</f>
        <v>-358.63863871024716</v>
      </c>
      <c r="E36" s="142">
        <f t="shared" si="0"/>
        <v>-319.40625319462049</v>
      </c>
      <c r="F36" s="142">
        <f t="shared" si="0"/>
        <v>-294.69036383077628</v>
      </c>
      <c r="G36" s="142">
        <f t="shared" si="0"/>
        <v>-322.16416826045497</v>
      </c>
      <c r="H36" s="142">
        <f t="shared" si="0"/>
        <v>-542.80576760783754</v>
      </c>
      <c r="I36" s="142">
        <f t="shared" si="0"/>
        <v>-711.91569881004023</v>
      </c>
      <c r="J36" s="142">
        <f t="shared" si="0"/>
        <v>-388.22393132747618</v>
      </c>
      <c r="K36" s="142">
        <f t="shared" si="0"/>
        <v>-387.31746638956645</v>
      </c>
      <c r="L36" s="142">
        <f t="shared" si="0"/>
        <v>-386.98022164400629</v>
      </c>
      <c r="M36" s="142">
        <f t="shared" si="0"/>
        <v>-387.73480694582889</v>
      </c>
      <c r="N36" s="142">
        <f t="shared" si="0"/>
        <v>-388.25109010970783</v>
      </c>
      <c r="O36" s="142">
        <f t="shared" si="0"/>
        <v>-388.38336574107518</v>
      </c>
      <c r="P36" s="142">
        <f t="shared" si="0"/>
        <v>-387.82112184321477</v>
      </c>
      <c r="S36" s="143">
        <f>MEDIAN(C36:P36)</f>
        <v>-387.52613666769764</v>
      </c>
    </row>
    <row r="37" spans="1:19" ht="15" thickBot="1" x14ac:dyDescent="0.35">
      <c r="A37" s="4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ht="15" thickBot="1" x14ac:dyDescent="0.35">
      <c r="A38" s="4"/>
      <c r="B38" s="130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</row>
    <row r="39" spans="1:19" ht="28.2" customHeight="1" x14ac:dyDescent="0.3">
      <c r="A39" s="4"/>
      <c r="B39" s="133" t="s">
        <v>332</v>
      </c>
      <c r="C39" s="53">
        <f>CFS!C25/'Income Statement'!C10</f>
        <v>0.10455128918366627</v>
      </c>
      <c r="D39" s="53">
        <f>CFS!D25/'Income Statement'!D10</f>
        <v>0.12801962145083223</v>
      </c>
      <c r="E39" s="53">
        <f>CFS!E25/'Income Statement'!E10</f>
        <v>0.14097596401987189</v>
      </c>
      <c r="F39" s="53">
        <f>CFS!F25/'Income Statement'!F10</f>
        <v>9.1928133749662272E-2</v>
      </c>
      <c r="G39" s="53">
        <f>CFS!G25/'Income Statement'!G10</f>
        <v>0.15497697930437931</v>
      </c>
      <c r="H39" s="53">
        <f>CFS!H25/'Income Statement'!H10</f>
        <v>0.1534342282043285</v>
      </c>
      <c r="I39" s="53">
        <f>CFS!I25/'Income Statement'!I10</f>
        <v>0.13825422860700221</v>
      </c>
      <c r="J39" s="53">
        <f ca="1">CFS!J25/'Income Statement'!J10</f>
        <v>0.15257942411045791</v>
      </c>
      <c r="K39" s="53">
        <f ca="1">CFS!K25/'Income Statement'!K10</f>
        <v>0.14658761033768136</v>
      </c>
      <c r="L39" s="53">
        <f ca="1">CFS!L25/'Income Statement'!L10</f>
        <v>0.1477658946532065</v>
      </c>
      <c r="M39" s="53">
        <f ca="1">CFS!M25/'Income Statement'!M10</f>
        <v>0.14578183431313085</v>
      </c>
      <c r="N39" s="53">
        <f ca="1">CFS!N25/'Income Statement'!N10</f>
        <v>9.9071765810257964E-2</v>
      </c>
      <c r="O39" s="53">
        <f ca="1">CFS!O25/'Income Statement'!O10</f>
        <v>0.11090483090045876</v>
      </c>
      <c r="P39" s="53">
        <f ca="1">CFS!P25/'Income Statement'!P10</f>
        <v>0.10281372970899233</v>
      </c>
      <c r="S39" s="53">
        <f ca="1">MEDIAN(C39:P39)</f>
        <v>0.13961509631343705</v>
      </c>
    </row>
    <row r="40" spans="1:19" ht="26.4" customHeight="1" x14ac:dyDescent="0.3">
      <c r="A40" s="4"/>
      <c r="B40" s="133" t="s">
        <v>333</v>
      </c>
      <c r="C40" s="8"/>
      <c r="D40" s="53">
        <f>CFS!D25/AVERAGE('Balance Sheet'!C36,'Balance Sheet'!D36)</f>
        <v>0.21087258281531249</v>
      </c>
      <c r="E40" s="53">
        <f>CFS!E25/AVERAGE('Balance Sheet'!D36,'Balance Sheet'!E36)</f>
        <v>0.23366082035151073</v>
      </c>
      <c r="F40" s="53">
        <f>CFS!F25/AVERAGE('Balance Sheet'!E36,'Balance Sheet'!F36)</f>
        <v>0.16728940621864188</v>
      </c>
      <c r="G40" s="53">
        <f>CFS!G25/AVERAGE('Balance Sheet'!F36,'Balance Sheet'!G36)</f>
        <v>0.29931167591718788</v>
      </c>
      <c r="H40" s="53">
        <f>CFS!H25/AVERAGE('Balance Sheet'!G36,'Balance Sheet'!H36)</f>
        <v>0.27927286462595818</v>
      </c>
      <c r="I40" s="53">
        <f>CFS!I25/AVERAGE('Balance Sheet'!H36,'Balance Sheet'!I36)</f>
        <v>0.27698021059495509</v>
      </c>
      <c r="J40" s="53">
        <f ca="1">CFS!J25/AVERAGE('Balance Sheet'!I36,'Balance Sheet'!J36)</f>
        <v>0.30214746170699841</v>
      </c>
      <c r="K40" s="53">
        <f ca="1">CFS!K25/AVERAGE('Balance Sheet'!J36,'Balance Sheet'!K36)</f>
        <v>0.25797496017520116</v>
      </c>
      <c r="L40" s="53">
        <f ca="1">CFS!L25/AVERAGE('Balance Sheet'!K36,'Balance Sheet'!L36)</f>
        <v>0.22733223529525387</v>
      </c>
      <c r="M40" s="53">
        <f ca="1">CFS!M25/AVERAGE('Balance Sheet'!L36,'Balance Sheet'!M36)</f>
        <v>0.18940592742533699</v>
      </c>
      <c r="N40" s="53">
        <f ca="1">CFS!N25/AVERAGE('Balance Sheet'!M36,'Balance Sheet'!N36)</f>
        <v>0.10924751873503984</v>
      </c>
      <c r="O40" s="53">
        <f ca="1">CFS!O25/AVERAGE('Balance Sheet'!N36,'Balance Sheet'!O36)</f>
        <v>0.10303689616159824</v>
      </c>
      <c r="P40" s="53">
        <f ca="1">CFS!P25/AVERAGE('Balance Sheet'!O36,'Balance Sheet'!P36)</f>
        <v>7.8106195861001315E-2</v>
      </c>
      <c r="S40" s="53">
        <f ca="1">MEDIAN(C40:P40)</f>
        <v>0.22733223529525387</v>
      </c>
    </row>
    <row r="41" spans="1:19" ht="25.2" customHeight="1" thickBot="1" x14ac:dyDescent="0.35">
      <c r="A41" s="4"/>
      <c r="B41" s="134" t="s">
        <v>334</v>
      </c>
      <c r="C41" s="138"/>
      <c r="D41" s="139">
        <f>CFS!D25/AVERAGE('Balance Sheet'!D54+'Balance Sheet'!D67,'Balance Sheet'!C54+'Balance Sheet'!C67)</f>
        <v>0.55413050130232655</v>
      </c>
      <c r="E41" s="139">
        <f>CFS!E25/AVERAGE('Balance Sheet'!E54+'Balance Sheet'!E67,'Balance Sheet'!D54+'Balance Sheet'!D67)</f>
        <v>0.47311053288420685</v>
      </c>
      <c r="F41" s="139">
        <f>CFS!F25/AVERAGE('Balance Sheet'!F54+'Balance Sheet'!F67,'Balance Sheet'!E54+'Balance Sheet'!E67)</f>
        <v>0.27747985125856922</v>
      </c>
      <c r="G41" s="139">
        <f>CFS!G25/AVERAGE('Balance Sheet'!G54+'Balance Sheet'!G67,'Balance Sheet'!F54+'Balance Sheet'!F67)</f>
        <v>0.47086727623315133</v>
      </c>
      <c r="H41" s="139">
        <f>CFS!H25/AVERAGE('Balance Sheet'!H54+'Balance Sheet'!H67,'Balance Sheet'!G54+'Balance Sheet'!G67)</f>
        <v>0.47229013854930735</v>
      </c>
      <c r="I41" s="139">
        <f>CFS!I25/AVERAGE('Balance Sheet'!I54+'Balance Sheet'!I67,'Balance Sheet'!H54+'Balance Sheet'!H67)</f>
        <v>0.51870562491309258</v>
      </c>
      <c r="J41" s="139">
        <f ca="1">CFS!J25/AVERAGE('Balance Sheet'!J54+'Balance Sheet'!J67,'Balance Sheet'!I54+'Balance Sheet'!I67)</f>
        <v>0.60921618100410491</v>
      </c>
      <c r="K41" s="139">
        <f ca="1">CFS!K25/AVERAGE('Balance Sheet'!K54+'Balance Sheet'!K67,'Balance Sheet'!J54+'Balance Sheet'!J67)</f>
        <v>0.52599443126246925</v>
      </c>
      <c r="L41" s="139">
        <f ca="1">CFS!L25/AVERAGE('Balance Sheet'!L54+'Balance Sheet'!L67,'Balance Sheet'!K54+'Balance Sheet'!K67)</f>
        <v>0.4790650057188115</v>
      </c>
      <c r="M41" s="139">
        <f ca="1">CFS!M25/AVERAGE('Balance Sheet'!M54+'Balance Sheet'!M67,'Balance Sheet'!L54+'Balance Sheet'!L67)</f>
        <v>0.40399388610161951</v>
      </c>
      <c r="N41" s="139">
        <f ca="1">CFS!N25/AVERAGE('Balance Sheet'!N54+'Balance Sheet'!N67,'Balance Sheet'!M54+'Balance Sheet'!M67)</f>
        <v>0.22666654604116229</v>
      </c>
      <c r="O41" s="139">
        <f ca="1">CFS!O25/AVERAGE('Balance Sheet'!O54+'Balance Sheet'!O67,'Balance Sheet'!N54+'Balance Sheet'!N67)</f>
        <v>0.20547002902520478</v>
      </c>
      <c r="P41" s="139">
        <f ca="1">CFS!P25/AVERAGE('Balance Sheet'!P54+'Balance Sheet'!P67,'Balance Sheet'!O54+'Balance Sheet'!O67)</f>
        <v>0.14936792707022947</v>
      </c>
      <c r="S41" s="53">
        <f ca="1">MEDIAN(C41:P41)</f>
        <v>0.47229013854930735</v>
      </c>
    </row>
    <row r="42" spans="1:19" ht="15" thickBot="1" x14ac:dyDescent="0.35">
      <c r="A42" s="4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140"/>
      <c r="R42" s="140"/>
      <c r="S42" s="140"/>
    </row>
    <row r="43" spans="1:19" ht="15" thickBot="1" x14ac:dyDescent="0.35">
      <c r="A43" s="4"/>
      <c r="B43" s="135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</row>
    <row r="44" spans="1:19" ht="26.4" customHeight="1" x14ac:dyDescent="0.3">
      <c r="A44" s="4"/>
      <c r="B44" s="136" t="s">
        <v>335</v>
      </c>
      <c r="C44" s="8"/>
      <c r="D44" s="53">
        <f t="shared" ref="D44:P44" si="1">D52/D51</f>
        <v>0.40152762844695278</v>
      </c>
      <c r="E44" s="53">
        <f t="shared" si="1"/>
        <v>0.54359989563359112</v>
      </c>
      <c r="F44" s="53">
        <f t="shared" si="1"/>
        <v>0.57200332356671146</v>
      </c>
      <c r="G44" s="53">
        <f t="shared" si="1"/>
        <v>0.65737987274657783</v>
      </c>
      <c r="H44" s="53">
        <f t="shared" si="1"/>
        <v>0.60355210448818386</v>
      </c>
      <c r="I44" s="53">
        <f t="shared" si="1"/>
        <v>0.60535347678227247</v>
      </c>
      <c r="J44" s="53">
        <f t="shared" ca="1" si="1"/>
        <v>0.68500717672652323</v>
      </c>
      <c r="K44" s="53">
        <f t="shared" ca="1" si="1"/>
        <v>0.58602854255678472</v>
      </c>
      <c r="L44" s="53">
        <f t="shared" ca="1" si="1"/>
        <v>0.61802099310958225</v>
      </c>
      <c r="M44" s="53">
        <f t="shared" ca="1" si="1"/>
        <v>0.53265522175795976</v>
      </c>
      <c r="N44" s="53">
        <f t="shared" ca="1" si="1"/>
        <v>0.46333030094943833</v>
      </c>
      <c r="O44" s="53">
        <f t="shared" ca="1" si="1"/>
        <v>0.48012379465299176</v>
      </c>
      <c r="P44" s="53">
        <f t="shared" ca="1" si="1"/>
        <v>0.5086005112345765</v>
      </c>
      <c r="S44" s="53">
        <f ca="1">MEDIAN(C44:P44)</f>
        <v>0.57200332356671146</v>
      </c>
    </row>
    <row r="45" spans="1:19" ht="30.6" customHeight="1" x14ac:dyDescent="0.3">
      <c r="A45" s="4"/>
      <c r="B45" s="133" t="s">
        <v>336</v>
      </c>
      <c r="C45" s="53">
        <f>('Income Statement'!C32--(CFS!C57))/'Income Statement'!C32</f>
        <v>0.69329963823931584</v>
      </c>
      <c r="D45" s="53">
        <f>('Income Statement'!D32--(CFS!D57))/'Income Statement'!D32</f>
        <v>0.68963117106773841</v>
      </c>
      <c r="E45" s="53">
        <f>('Income Statement'!E32--(CFS!E57))/'Income Statement'!E32</f>
        <v>-0.52586472422308583</v>
      </c>
      <c r="F45" s="53">
        <f>('Income Statement'!F32--(CFS!F57))/'Income Statement'!F32</f>
        <v>-0.63912452670879716</v>
      </c>
      <c r="G45" s="53">
        <f>('Income Statement'!G32--(CFS!G57))/'Income Statement'!G32</f>
        <v>0.41318988740761153</v>
      </c>
      <c r="H45" s="53">
        <f>('Income Statement'!H32--(CFS!H57))/'Income Statement'!H32</f>
        <v>0.188242074387833</v>
      </c>
      <c r="I45" s="53">
        <f>('Income Statement'!I32--(CFS!I57))/'Income Statement'!I32</f>
        <v>0.18840513164298989</v>
      </c>
      <c r="J45" s="53">
        <f ca="1">('Income Statement'!J32--(CFS!J57))/'Income Statement'!J32</f>
        <v>0.36914269117155507</v>
      </c>
      <c r="K45" s="53">
        <f ca="1">('Income Statement'!K32--(CFS!K57))/'Income Statement'!K32</f>
        <v>0.40038314027432143</v>
      </c>
      <c r="L45" s="53">
        <f ca="1">('Income Statement'!L32--(CFS!L57))/'Income Statement'!L32</f>
        <v>0.55479520179334929</v>
      </c>
      <c r="M45" s="53">
        <f ca="1">('Income Statement'!M32--(CFS!M57))/'Income Statement'!M32</f>
        <v>0.59648423986614729</v>
      </c>
      <c r="N45" s="53">
        <f ca="1">('Income Statement'!N32--(CFS!N57))/'Income Statement'!N32</f>
        <v>0.62340500036072055</v>
      </c>
      <c r="O45" s="53">
        <f ca="1">('Income Statement'!O32--(CFS!O57))/'Income Statement'!O32</f>
        <v>0.7081985374526234</v>
      </c>
      <c r="P45" s="53">
        <f ca="1">('Income Statement'!P32--(CFS!P57))/'Income Statement'!P32</f>
        <v>0.78564637654087877</v>
      </c>
      <c r="S45" s="53">
        <f ca="1">MEDIAN(C45:P45)</f>
        <v>0.48399254460048041</v>
      </c>
    </row>
    <row r="46" spans="1:19" ht="29.4" customHeight="1" x14ac:dyDescent="0.3">
      <c r="A46" s="4"/>
      <c r="B46" s="133" t="s">
        <v>337</v>
      </c>
      <c r="C46" s="8"/>
      <c r="D46" s="53">
        <f>'Income Statement'!D32/AVERAGE('Balance Sheet'!D42,'Balance Sheet'!C42)</f>
        <v>0.32199332723357477</v>
      </c>
      <c r="E46" s="53">
        <f>'Income Statement'!E32/AVERAGE('Balance Sheet'!E42,'Balance Sheet'!D42)</f>
        <v>0.46552853975038011</v>
      </c>
      <c r="F46" s="53">
        <f>'Income Statement'!F32/AVERAGE('Balance Sheet'!F42,'Balance Sheet'!E42)</f>
        <v>0.49657372710358699</v>
      </c>
      <c r="G46" s="53">
        <f>'Income Statement'!G32/AVERAGE('Balance Sheet'!G42,'Balance Sheet'!F42)</f>
        <v>0.76040030398678926</v>
      </c>
      <c r="H46" s="53">
        <f>'Income Statement'!H32/AVERAGE('Balance Sheet'!H42,'Balance Sheet'!G42)</f>
        <v>0.57096841939112819</v>
      </c>
      <c r="I46" s="53">
        <f>'Income Statement'!I32/AVERAGE('Balance Sheet'!I42,'Balance Sheet'!H42)</f>
        <v>0.5249601072163762</v>
      </c>
      <c r="J46" s="53">
        <f ca="1">'Income Statement'!J32/AVERAGE('Balance Sheet'!J42,'Balance Sheet'!I42)</f>
        <v>0.59481728552622404</v>
      </c>
      <c r="K46" s="53">
        <f ca="1">'Income Statement'!K32/AVERAGE('Balance Sheet'!K42,'Balance Sheet'!J42)</f>
        <v>0.50669910654294659</v>
      </c>
      <c r="L46" s="53">
        <f ca="1">'Income Statement'!L32/AVERAGE('Balance Sheet'!L42,'Balance Sheet'!K42)</f>
        <v>0.52871792660078609</v>
      </c>
      <c r="M46" s="53">
        <f ca="1">'Income Statement'!M32/AVERAGE('Balance Sheet'!M42,'Balance Sheet'!L42)</f>
        <v>0.44171095507576535</v>
      </c>
      <c r="N46" s="53">
        <f ca="1">'Income Statement'!N32/AVERAGE('Balance Sheet'!N42,'Balance Sheet'!M42)</f>
        <v>0.36996856700769992</v>
      </c>
      <c r="O46" s="53">
        <f ca="1">'Income Statement'!O32/AVERAGE('Balance Sheet'!O42,'Balance Sheet'!N42)</f>
        <v>0.37175223318611333</v>
      </c>
      <c r="P46" s="53">
        <f ca="1">'Income Statement'!P32/AVERAGE('Balance Sheet'!P42,'Balance Sheet'!O42)</f>
        <v>0.3803795801443986</v>
      </c>
      <c r="S46" s="53">
        <f ca="1">MEDIAN(C46:P46)</f>
        <v>0.49657372710358699</v>
      </c>
    </row>
    <row r="47" spans="1:19" ht="27" customHeight="1" thickBot="1" x14ac:dyDescent="0.35">
      <c r="A47" s="4"/>
      <c r="B47" s="134" t="s">
        <v>338</v>
      </c>
      <c r="C47" s="138"/>
      <c r="D47" s="138">
        <f>C52/'Income Statement'!C19</f>
        <v>195.49174917491743</v>
      </c>
      <c r="E47" s="138">
        <f>D52/'Income Statement'!D19</f>
        <v>25.204291287386226</v>
      </c>
      <c r="F47" s="138">
        <f>E52/'Income Statement'!E19</f>
        <v>23.671055004508563</v>
      </c>
      <c r="G47" s="138">
        <f>F52/'Income Statement'!F19</f>
        <v>15.410631367385118</v>
      </c>
      <c r="H47" s="138">
        <f>G52/'Income Statement'!G19</f>
        <v>16.713601419278522</v>
      </c>
      <c r="I47" s="138">
        <f>H52/'Income Statement'!H19</f>
        <v>18.782743902439034</v>
      </c>
      <c r="J47" s="138">
        <f>I52/'Income Statement'!I19</f>
        <v>22.263400576368891</v>
      </c>
      <c r="K47" s="138">
        <f ca="1">J52/'Income Statement'!J19</f>
        <v>32.475612233564789</v>
      </c>
      <c r="L47" s="138">
        <f ca="1">K52/'Income Statement'!K19</f>
        <v>22.965797234810552</v>
      </c>
      <c r="M47" s="138">
        <f ca="1">L52/'Income Statement'!L19</f>
        <v>20.840611741085397</v>
      </c>
      <c r="N47" s="138">
        <f ca="1">M52/'Income Statement'!M19</f>
        <v>15.570389132714171</v>
      </c>
      <c r="O47" s="138">
        <f ca="1">N52/'Income Statement'!N19</f>
        <v>11.218849621874957</v>
      </c>
      <c r="P47" s="138">
        <f ca="1">O52/'Income Statement'!O19</f>
        <v>9.4612601848022706</v>
      </c>
      <c r="S47" s="53">
        <f ca="1">MEDIAN(C47:P47)</f>
        <v>20.840611741085397</v>
      </c>
    </row>
    <row r="48" spans="1:19" x14ac:dyDescent="0.3">
      <c r="A48" s="4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109"/>
      <c r="R48" s="109"/>
      <c r="S48" s="109"/>
    </row>
    <row r="49" spans="1:16" x14ac:dyDescent="0.3">
      <c r="A49" s="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3">
      <c r="A50" s="4"/>
      <c r="B50" s="8" t="s">
        <v>339</v>
      </c>
      <c r="C50" s="8">
        <f>'Balance Sheet'!C36-'Balance Sheet'!C67</f>
        <v>4390.41</v>
      </c>
      <c r="D50" s="8">
        <f>'Balance Sheet'!D36-'Balance Sheet'!D67</f>
        <v>5263.7699999999986</v>
      </c>
      <c r="E50" s="8">
        <f>'Balance Sheet'!E36-'Balance Sheet'!E67</f>
        <v>4394.51</v>
      </c>
      <c r="F50" s="8">
        <f>'Balance Sheet'!F36-'Balance Sheet'!F67</f>
        <v>3380.2699999999995</v>
      </c>
      <c r="G50" s="8">
        <f>'Balance Sheet'!G36-'Balance Sheet'!G67</f>
        <v>5218.32</v>
      </c>
      <c r="H50" s="8">
        <f>'Balance Sheet'!H36-'Balance Sheet'!H67</f>
        <v>4989.1500000000015</v>
      </c>
      <c r="I50" s="8">
        <f>'Balance Sheet'!I36-'Balance Sheet'!I67</f>
        <v>5220.2900000000009</v>
      </c>
      <c r="J50" s="8">
        <f ca="1">'Balance Sheet'!J36-'Balance Sheet'!J67</f>
        <v>6587.9985799233846</v>
      </c>
      <c r="K50" s="8">
        <f ca="1">'Balance Sheet'!K36-'Balance Sheet'!K67</f>
        <v>8127.399300075017</v>
      </c>
      <c r="L50" s="8">
        <f ca="1">'Balance Sheet'!L36-'Balance Sheet'!L67</f>
        <v>10753.487928321258</v>
      </c>
      <c r="M50" s="8">
        <f ca="1">'Balance Sheet'!M36-'Balance Sheet'!M67</f>
        <v>13836.124478481217</v>
      </c>
      <c r="N50" s="8">
        <f ca="1">'Balance Sheet'!N36-'Balance Sheet'!N67</f>
        <v>17281.835937061227</v>
      </c>
      <c r="O50" s="8">
        <f ca="1">'Balance Sheet'!O36-'Balance Sheet'!O67</f>
        <v>22191.451731413719</v>
      </c>
      <c r="P50" s="8">
        <f ca="1">'Balance Sheet'!P36-'Balance Sheet'!P67</f>
        <v>29433.799919516481</v>
      </c>
    </row>
    <row r="51" spans="1:16" x14ac:dyDescent="0.3">
      <c r="A51" s="4"/>
      <c r="B51" s="8" t="s">
        <v>340</v>
      </c>
      <c r="C51" s="8"/>
      <c r="D51" s="8">
        <f>AVERAGE(D50,C50)</f>
        <v>4827.0899999999992</v>
      </c>
      <c r="E51" s="8">
        <f t="shared" ref="E51:P51" si="2">AVERAGE(E50,D50)</f>
        <v>4829.1399999999994</v>
      </c>
      <c r="F51" s="8">
        <f t="shared" si="2"/>
        <v>3887.39</v>
      </c>
      <c r="G51" s="8">
        <f t="shared" si="2"/>
        <v>4299.2950000000001</v>
      </c>
      <c r="H51" s="8">
        <f t="shared" si="2"/>
        <v>5103.7350000000006</v>
      </c>
      <c r="I51" s="8">
        <f t="shared" si="2"/>
        <v>5104.7200000000012</v>
      </c>
      <c r="J51" s="8">
        <f t="shared" ca="1" si="2"/>
        <v>5904.1442899616923</v>
      </c>
      <c r="K51" s="8">
        <f t="shared" ca="1" si="2"/>
        <v>7357.6989399992008</v>
      </c>
      <c r="L51" s="8">
        <f t="shared" ca="1" si="2"/>
        <v>9440.4436141981369</v>
      </c>
      <c r="M51" s="8">
        <f t="shared" ca="1" si="2"/>
        <v>12294.806203401236</v>
      </c>
      <c r="N51" s="8">
        <f t="shared" ca="1" si="2"/>
        <v>15558.980207771223</v>
      </c>
      <c r="O51" s="8">
        <f t="shared" ca="1" si="2"/>
        <v>19736.643834237475</v>
      </c>
      <c r="P51" s="8">
        <f t="shared" ca="1" si="2"/>
        <v>25812.6258254651</v>
      </c>
    </row>
    <row r="52" spans="1:16" x14ac:dyDescent="0.3">
      <c r="A52" s="4"/>
      <c r="B52" s="8" t="s">
        <v>277</v>
      </c>
      <c r="C52" s="8">
        <f>'Income Statement'!C25+'Income Statement'!C19</f>
        <v>1777.0199999999995</v>
      </c>
      <c r="D52" s="8">
        <f>'Income Statement'!D25+'Income Statement'!D19</f>
        <v>1938.2100000000009</v>
      </c>
      <c r="E52" s="8">
        <f>'Income Statement'!E25+'Income Statement'!E19</f>
        <v>2625.12</v>
      </c>
      <c r="F52" s="8">
        <f>'Income Statement'!F25+'Income Statement'!F19</f>
        <v>2223.5999999999985</v>
      </c>
      <c r="G52" s="8">
        <f>'Income Statement'!G25+'Income Statement'!G19</f>
        <v>2826.2699999999982</v>
      </c>
      <c r="H52" s="8">
        <f>'Income Statement'!H25+'Income Statement'!H19</f>
        <v>3080.3700000000013</v>
      </c>
      <c r="I52" s="8">
        <f>'Income Statement'!I25+'Income Statement'!I19</f>
        <v>3090.1600000000026</v>
      </c>
      <c r="J52" s="8">
        <f ca="1">'Income Statement'!J25+'Income Statement'!J19</f>
        <v>4044.3812110526819</v>
      </c>
      <c r="K52" s="8">
        <f ca="1">'Income Statement'!K25+'Income Statement'!K19</f>
        <v>4311.8215863793357</v>
      </c>
      <c r="L52" s="8">
        <f ca="1">'Income Statement'!L25+'Income Statement'!L19</f>
        <v>5834.3923378417476</v>
      </c>
      <c r="M52" s="8">
        <f ca="1">'Income Statement'!M25+'Income Statement'!M19</f>
        <v>6548.8927247438232</v>
      </c>
      <c r="N52" s="8">
        <f ca="1">'Income Statement'!N25+'Income Statement'!N19</f>
        <v>7208.9469821329967</v>
      </c>
      <c r="O52" s="8">
        <f ca="1">'Income Statement'!O25+'Income Statement'!O19</f>
        <v>9476.0323314086654</v>
      </c>
      <c r="P52" s="8">
        <f ca="1">'Income Statement'!P25+'Income Statement'!P19</f>
        <v>13128.314691138379</v>
      </c>
    </row>
    <row r="53" spans="1:16" x14ac:dyDescent="0.3">
      <c r="A53" s="4"/>
      <c r="B53" s="8" t="s">
        <v>344</v>
      </c>
      <c r="C53" s="8">
        <f>'Income Statement'!C27+'Income Statement'!C20+'Income Statement'!C19</f>
        <v>1938.8999999999994</v>
      </c>
      <c r="D53" s="8">
        <f>'Income Statement'!D27+'Income Statement'!D20+'Income Statement'!D19</f>
        <v>2106.0100000000007</v>
      </c>
      <c r="E53" s="8">
        <f>'Income Statement'!E27+'Income Statement'!E20+'Income Statement'!E19</f>
        <v>2822.3599999999997</v>
      </c>
      <c r="F53" s="8">
        <f>'Income Statement'!F27+'Income Statement'!F20+'Income Statement'!F19</f>
        <v>2423.1599999999985</v>
      </c>
      <c r="G53" s="8">
        <f>'Income Statement'!G27+'Income Statement'!G20+'Income Statement'!G19</f>
        <v>3427.7799999999979</v>
      </c>
      <c r="H53" s="8">
        <f>'Income Statement'!H27+'Income Statement'!H20+'Income Statement'!H19</f>
        <v>3377.9300000000012</v>
      </c>
      <c r="I53" s="8">
        <f>'Income Statement'!I27+'Income Statement'!I20+'Income Statement'!I19</f>
        <v>3378.7100000000028</v>
      </c>
      <c r="J53" s="8">
        <f ca="1">'Income Statement'!J27+'Income Statement'!J20+'Income Statement'!J19</f>
        <v>3763.0501432827409</v>
      </c>
      <c r="K53" s="8">
        <f ca="1">'Income Statement'!K27+'Income Statement'!K20+'Income Statement'!K19</f>
        <v>4038.1358400238551</v>
      </c>
      <c r="L53" s="8">
        <f ca="1">'Income Statement'!L27+'Income Statement'!L20+'Income Statement'!L19</f>
        <v>5563.285502638063</v>
      </c>
      <c r="M53" s="8">
        <f ca="1">'Income Statement'!M27+'Income Statement'!M20+'Income Statement'!M19</f>
        <v>6274.2527310284831</v>
      </c>
      <c r="N53" s="8">
        <f ca="1">'Income Statement'!N27+'Income Statement'!N20+'Income Statement'!N19</f>
        <v>6923.8302892239026</v>
      </c>
      <c r="O53" s="8">
        <f ca="1">'Income Statement'!O27+'Income Statement'!O20+'Income Statement'!O19</f>
        <v>9173.3369798554904</v>
      </c>
      <c r="P53" s="8">
        <f ca="1">'Income Statement'!P27+'Income Statement'!P20+'Income Statement'!P19</f>
        <v>12799.516049623089</v>
      </c>
    </row>
    <row r="54" spans="1:16" x14ac:dyDescent="0.3">
      <c r="A54" s="4"/>
    </row>
    <row r="55" spans="1:16" x14ac:dyDescent="0.3">
      <c r="A55" s="4"/>
    </row>
    <row r="56" spans="1:16" x14ac:dyDescent="0.3">
      <c r="A56" s="4"/>
    </row>
    <row r="57" spans="1:16" x14ac:dyDescent="0.3">
      <c r="A57" s="4"/>
    </row>
    <row r="58" spans="1:16" x14ac:dyDescent="0.3">
      <c r="A58" s="4"/>
    </row>
    <row r="59" spans="1:16" x14ac:dyDescent="0.3">
      <c r="A59" s="4"/>
    </row>
    <row r="60" spans="1:16" x14ac:dyDescent="0.3">
      <c r="A60" s="4"/>
    </row>
    <row r="61" spans="1:16" x14ac:dyDescent="0.3">
      <c r="A61" s="4"/>
    </row>
    <row r="62" spans="1:16" x14ac:dyDescent="0.3">
      <c r="A62" s="4"/>
    </row>
    <row r="63" spans="1:16" x14ac:dyDescent="0.3">
      <c r="A63" s="4"/>
    </row>
    <row r="64" spans="1:16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</sheetData>
  <mergeCells count="4">
    <mergeCell ref="B1:D1"/>
    <mergeCell ref="B2:D2"/>
    <mergeCell ref="R4:R5"/>
    <mergeCell ref="S4:S5"/>
  </mergeCells>
  <pageMargins left="0.7" right="0.7" top="0.75" bottom="0.75" header="0.3" footer="0.3"/>
  <pageSetup scale="46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 xr2:uid="{BCEFAA96-DC8F-4386-84B1-F549C1713D4F}">
          <x14:colorSeries rgb="FFFF0000"/>
          <x14:colorNegative rgb="FFFF0000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'RATIO ANALYSIS'!C7:P7</xm:f>
              <xm:sqref>R7</xm:sqref>
            </x14:sparkline>
            <x14:sparkline>
              <xm:f>'RATIO ANALYSIS'!C8:P8</xm:f>
              <xm:sqref>R8</xm:sqref>
            </x14:sparkline>
            <x14:sparkline>
              <xm:f>'RATIO ANALYSIS'!C9:P9</xm:f>
              <xm:sqref>R9</xm:sqref>
            </x14:sparkline>
            <x14:sparkline>
              <xm:f>'RATIO ANALYSIS'!C10:P10</xm:f>
              <xm:sqref>R10</xm:sqref>
            </x14:sparkline>
            <x14:sparkline>
              <xm:f>'RATIO ANALYSIS'!C11:P11</xm:f>
              <xm:sqref>R11</xm:sqref>
            </x14:sparkline>
            <x14:sparkline>
              <xm:f>'RATIO ANALYSIS'!C13:P13</xm:f>
              <xm:sqref>R13</xm:sqref>
            </x14:sparkline>
            <x14:sparkline>
              <xm:f>'RATIO ANALYSIS'!C15:P15</xm:f>
              <xm:sqref>R15</xm:sqref>
            </x14:sparkline>
            <x14:sparkline>
              <xm:f>'RATIO ANALYSIS'!C16:P16</xm:f>
              <xm:sqref>R16</xm:sqref>
            </x14:sparkline>
            <x14:sparkline>
              <xm:f>'RATIO ANALYSIS'!C17:P17</xm:f>
              <xm:sqref>R17</xm:sqref>
            </x14:sparkline>
            <x14:sparkline>
              <xm:f>'RATIO ANALYSIS'!C18:P18</xm:f>
              <xm:sqref>R18</xm:sqref>
            </x14:sparkline>
            <x14:sparkline>
              <xm:f>'RATIO ANALYSIS'!C19:P19</xm:f>
              <xm:sqref>R19</xm:sqref>
            </x14:sparkline>
            <x14:sparkline>
              <xm:f>'RATIO ANALYSIS'!C22:P22</xm:f>
              <xm:sqref>R22</xm:sqref>
            </x14:sparkline>
            <x14:sparkline>
              <xm:f>'RATIO ANALYSIS'!C23:P23</xm:f>
              <xm:sqref>R23</xm:sqref>
            </x14:sparkline>
            <x14:sparkline>
              <xm:f>'RATIO ANALYSIS'!C26:P26</xm:f>
              <xm:sqref>R26</xm:sqref>
            </x14:sparkline>
            <x14:sparkline>
              <xm:f>'RATIO ANALYSIS'!C27:P27</xm:f>
              <xm:sqref>R27</xm:sqref>
            </x14:sparkline>
            <x14:sparkline>
              <xm:f>'RATIO ANALYSIS'!C28:P28</xm:f>
              <xm:sqref>R28</xm:sqref>
            </x14:sparkline>
            <x14:sparkline>
              <xm:f>'RATIO ANALYSIS'!C29:P29</xm:f>
              <xm:sqref>R29</xm:sqref>
            </x14:sparkline>
            <x14:sparkline>
              <xm:f>'RATIO ANALYSIS'!C30:P30</xm:f>
              <xm:sqref>R30</xm:sqref>
            </x14:sparkline>
            <x14:sparkline>
              <xm:f>'RATIO ANALYSIS'!C33:P33</xm:f>
              <xm:sqref>R33</xm:sqref>
            </x14:sparkline>
            <x14:sparkline>
              <xm:f>'RATIO ANALYSIS'!C34:P34</xm:f>
              <xm:sqref>R34</xm:sqref>
            </x14:sparkline>
            <x14:sparkline>
              <xm:f>'RATIO ANALYSIS'!C35:P35</xm:f>
              <xm:sqref>R35</xm:sqref>
            </x14:sparkline>
            <x14:sparkline>
              <xm:f>'RATIO ANALYSIS'!C36:P36</xm:f>
              <xm:sqref>R36</xm:sqref>
            </x14:sparkline>
            <x14:sparkline>
              <xm:f>'RATIO ANALYSIS'!C39:P39</xm:f>
              <xm:sqref>R39</xm:sqref>
            </x14:sparkline>
            <x14:sparkline>
              <xm:f>'RATIO ANALYSIS'!C40:P40</xm:f>
              <xm:sqref>R40</xm:sqref>
            </x14:sparkline>
            <x14:sparkline>
              <xm:f>'RATIO ANALYSIS'!C41:P41</xm:f>
              <xm:sqref>R41</xm:sqref>
            </x14:sparkline>
            <x14:sparkline>
              <xm:f>'RATIO ANALYSIS'!C44:P44</xm:f>
              <xm:sqref>R44</xm:sqref>
            </x14:sparkline>
            <x14:sparkline>
              <xm:f>'RATIO ANALYSIS'!C45:P45</xm:f>
              <xm:sqref>R45</xm:sqref>
            </x14:sparkline>
            <x14:sparkline>
              <xm:f>'RATIO ANALYSIS'!C46:P46</xm:f>
              <xm:sqref>R46</xm:sqref>
            </x14:sparkline>
            <x14:sparkline>
              <xm:f>'RATIO ANALYSIS'!C47:P47</xm:f>
              <xm:sqref>R47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8E49-16A0-4CAA-9FDE-685689BD15E9}">
  <sheetPr>
    <pageSetUpPr fitToPage="1"/>
  </sheetPr>
  <dimension ref="A1:R270"/>
  <sheetViews>
    <sheetView showGridLines="0" zoomScale="79" zoomScaleNormal="94" workbookViewId="0">
      <selection activeCell="B6" sqref="B6:B37"/>
    </sheetView>
  </sheetViews>
  <sheetFormatPr defaultRowHeight="14.4" x14ac:dyDescent="0.3"/>
  <cols>
    <col min="1" max="1" width="3.88671875" style="3" customWidth="1"/>
    <col min="2" max="2" width="45.21875" style="4" bestFit="1" customWidth="1"/>
    <col min="3" max="3" width="13.6640625" style="4" bestFit="1" customWidth="1"/>
    <col min="4" max="9" width="7.109375" style="4" bestFit="1" customWidth="1"/>
    <col min="10" max="16" width="9.109375" style="4" bestFit="1" customWidth="1"/>
    <col min="17" max="16384" width="8.88671875" style="4"/>
  </cols>
  <sheetData>
    <row r="1" spans="1:18" ht="30" customHeight="1" x14ac:dyDescent="0.7">
      <c r="B1" s="177" t="s">
        <v>60</v>
      </c>
      <c r="C1" s="177"/>
      <c r="D1" s="177"/>
    </row>
    <row r="2" spans="1:18" ht="21" customHeight="1" x14ac:dyDescent="0.5">
      <c r="B2" s="178" t="s">
        <v>220</v>
      </c>
      <c r="C2" s="178"/>
      <c r="D2" s="178"/>
    </row>
    <row r="4" spans="1:18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8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8" ht="15" thickBot="1" x14ac:dyDescent="0.35">
      <c r="A6" s="4"/>
      <c r="B6" s="61" t="s">
        <v>225</v>
      </c>
      <c r="C6" s="61"/>
      <c r="D6" s="61"/>
      <c r="E6" s="61"/>
      <c r="F6" s="61"/>
      <c r="G6" s="61"/>
      <c r="H6" s="61"/>
      <c r="I6" s="61"/>
      <c r="J6" s="94"/>
      <c r="K6" s="94"/>
      <c r="L6" s="94"/>
      <c r="M6" s="94"/>
      <c r="N6" s="94"/>
      <c r="O6" s="94"/>
      <c r="P6" s="94"/>
      <c r="Q6"/>
      <c r="R6"/>
    </row>
    <row r="7" spans="1:18" ht="15" thickBot="1" x14ac:dyDescent="0.35">
      <c r="A7" s="4"/>
      <c r="B7" s="57" t="s">
        <v>221</v>
      </c>
      <c r="C7" s="87"/>
      <c r="D7" s="88">
        <f>'Revenue Schedule'!D8</f>
        <v>4.9289576260530765E-2</v>
      </c>
      <c r="E7" s="88">
        <f>'Revenue Schedule'!E8</f>
        <v>0.13246979408683979</v>
      </c>
      <c r="F7" s="88">
        <f>'Revenue Schedule'!F8</f>
        <v>7.613499856122119E-2</v>
      </c>
      <c r="G7" s="88">
        <f>'Revenue Schedule'!G8</f>
        <v>0.15310202274151719</v>
      </c>
      <c r="H7" s="88">
        <f>'Revenue Schedule'!H8</f>
        <v>2.8754857964915281E-2</v>
      </c>
      <c r="I7" s="88">
        <f>'Revenue Schedule'!I8</f>
        <v>6.9973230796570141E-2</v>
      </c>
      <c r="J7" s="90">
        <f>'Revenue Schedule'!J8</f>
        <v>7.6970553876227157E-2</v>
      </c>
      <c r="K7" s="90">
        <f>'Revenue Schedule'!K8</f>
        <v>8.4667609263849877E-2</v>
      </c>
      <c r="L7" s="90">
        <f>'Revenue Schedule'!L8</f>
        <v>9.3134370190234864E-2</v>
      </c>
      <c r="M7" s="90">
        <f>'Revenue Schedule'!M8</f>
        <v>0.10244780720925835</v>
      </c>
      <c r="N7" s="90">
        <f>'Revenue Schedule'!N8</f>
        <v>0.11269258793018419</v>
      </c>
      <c r="O7" s="90">
        <f>'Revenue Schedule'!O8</f>
        <v>0.12396184672320261</v>
      </c>
      <c r="P7" s="90">
        <f>'Revenue Schedule'!P8</f>
        <v>0.13635803139552288</v>
      </c>
      <c r="Q7"/>
      <c r="R7"/>
    </row>
    <row r="8" spans="1:18" x14ac:dyDescent="0.3">
      <c r="A8" s="4"/>
      <c r="B8" s="57"/>
      <c r="C8" s="57"/>
      <c r="D8" s="57"/>
      <c r="E8" s="57"/>
      <c r="F8" s="57"/>
      <c r="G8" s="57"/>
      <c r="H8" s="57"/>
      <c r="I8" s="57"/>
      <c r="J8" s="91"/>
      <c r="K8" s="91"/>
      <c r="L8" s="91"/>
      <c r="M8" s="91"/>
      <c r="N8" s="91"/>
      <c r="O8" s="91"/>
      <c r="P8" s="91"/>
      <c r="Q8"/>
      <c r="R8"/>
    </row>
    <row r="9" spans="1:18" ht="15" thickBot="1" x14ac:dyDescent="0.35">
      <c r="A9" s="4"/>
      <c r="B9" s="61" t="s">
        <v>224</v>
      </c>
      <c r="C9" s="61"/>
      <c r="D9" s="61"/>
      <c r="E9" s="61"/>
      <c r="F9" s="61"/>
      <c r="G9" s="61"/>
      <c r="H9" s="61"/>
      <c r="I9" s="61"/>
      <c r="J9" s="94"/>
      <c r="K9" s="94"/>
      <c r="L9" s="94"/>
      <c r="M9" s="94"/>
      <c r="N9" s="94"/>
      <c r="O9" s="94"/>
      <c r="P9" s="94"/>
      <c r="Q9"/>
      <c r="R9"/>
    </row>
    <row r="10" spans="1:18" ht="15" thickBot="1" x14ac:dyDescent="0.35">
      <c r="A10" s="4"/>
      <c r="B10" s="57" t="s">
        <v>222</v>
      </c>
      <c r="C10" s="88">
        <f>'Cost Schedule '!C15</f>
        <v>0.59354643784029748</v>
      </c>
      <c r="D10" s="88">
        <f>'Cost Schedule '!D15</f>
        <v>0.59721885762809768</v>
      </c>
      <c r="E10" s="88">
        <f>'Cost Schedule '!E15</f>
        <v>0.58054344731405116</v>
      </c>
      <c r="F10" s="88">
        <f>'Cost Schedule '!F15</f>
        <v>0.61970422162580474</v>
      </c>
      <c r="G10" s="88">
        <f>'Cost Schedule '!G15</f>
        <v>0.58840345877899836</v>
      </c>
      <c r="H10" s="88">
        <f>'Cost Schedule '!H15</f>
        <v>0.56603716202315302</v>
      </c>
      <c r="I10" s="88">
        <f>'Cost Schedule '!I15</f>
        <v>0.59099621182354689</v>
      </c>
      <c r="J10" s="92">
        <f>'Cost Schedule '!J15</f>
        <v>0.58181227754189946</v>
      </c>
      <c r="K10" s="92">
        <f>'Cost Schedule '!K15</f>
        <v>0.6</v>
      </c>
      <c r="L10" s="92">
        <f>'Cost Schedule '!L15</f>
        <v>0.56999999999999995</v>
      </c>
      <c r="M10" s="92">
        <f>'Cost Schedule '!M15</f>
        <v>0.59</v>
      </c>
      <c r="N10" s="92">
        <f>'Cost Schedule '!N15</f>
        <v>0.62</v>
      </c>
      <c r="O10" s="92">
        <f>'Cost Schedule '!O15</f>
        <v>0.61</v>
      </c>
      <c r="P10" s="92">
        <f>'Cost Schedule '!P15</f>
        <v>0.59</v>
      </c>
      <c r="Q10"/>
      <c r="R10"/>
    </row>
    <row r="11" spans="1:18" ht="15" thickBot="1" x14ac:dyDescent="0.35">
      <c r="A11" s="4"/>
      <c r="B11" s="57"/>
      <c r="C11" s="57"/>
      <c r="D11" s="57"/>
      <c r="E11" s="57"/>
      <c r="F11" s="57"/>
      <c r="G11" s="57"/>
      <c r="H11" s="57"/>
      <c r="I11" s="57"/>
      <c r="J11" s="91"/>
      <c r="K11" s="91"/>
      <c r="L11" s="91"/>
      <c r="M11" s="91"/>
      <c r="N11" s="91"/>
      <c r="O11" s="91"/>
      <c r="P11" s="91"/>
      <c r="Q11"/>
      <c r="R11"/>
    </row>
    <row r="12" spans="1:18" ht="15" thickBot="1" x14ac:dyDescent="0.35">
      <c r="A12" s="4"/>
      <c r="B12" s="95" t="s">
        <v>223</v>
      </c>
      <c r="C12" s="88">
        <f>'Cost Schedule '!C25</f>
        <v>3.9966819452774263E-2</v>
      </c>
      <c r="D12" s="88">
        <f>'Cost Schedule '!D25</f>
        <v>4.1957662150686879E-2</v>
      </c>
      <c r="E12" s="88">
        <f>'Cost Schedule '!E25</f>
        <v>4.0147257870272388E-2</v>
      </c>
      <c r="F12" s="88">
        <f>'Cost Schedule '!F25</f>
        <v>3.8359509516661408E-2</v>
      </c>
      <c r="G12" s="88">
        <f>'Cost Schedule '!G25</f>
        <v>4.0390048188558056E-2</v>
      </c>
      <c r="H12" s="88">
        <f>'Cost Schedule '!H25</f>
        <v>4.2261827736091079E-2</v>
      </c>
      <c r="I12" s="88">
        <f>'Cost Schedule '!I25</f>
        <v>3.926896052817111E-2</v>
      </c>
      <c r="J12" s="92">
        <f>'Cost Schedule '!J25</f>
        <v>4.0070086492370413E-2</v>
      </c>
      <c r="K12" s="92">
        <f>'Cost Schedule '!K25</f>
        <v>4.0336012206173603E-2</v>
      </c>
      <c r="L12" s="92">
        <f>'Cost Schedule '!L25</f>
        <v>4.0336012206173597E-2</v>
      </c>
      <c r="M12" s="92">
        <f>'Cost Schedule '!M25</f>
        <v>4.0336012206173597E-2</v>
      </c>
      <c r="N12" s="92">
        <f>'Cost Schedule '!N25</f>
        <v>4.0336012206173597E-2</v>
      </c>
      <c r="O12" s="92">
        <f>'Cost Schedule '!O25</f>
        <v>4.0336012206173597E-2</v>
      </c>
      <c r="P12" s="92">
        <f>'Cost Schedule '!P25</f>
        <v>4.0336012206173597E-2</v>
      </c>
      <c r="Q12"/>
      <c r="R12"/>
    </row>
    <row r="13" spans="1:18" ht="15" thickBot="1" x14ac:dyDescent="0.35">
      <c r="A13" s="4"/>
      <c r="B13" s="95"/>
      <c r="C13" s="57"/>
      <c r="D13" s="57"/>
      <c r="E13" s="57"/>
      <c r="F13" s="57"/>
      <c r="G13" s="57"/>
      <c r="H13" s="57"/>
      <c r="I13" s="57"/>
      <c r="J13" s="91"/>
      <c r="K13" s="91"/>
      <c r="L13" s="91"/>
      <c r="M13" s="91"/>
      <c r="N13" s="91"/>
      <c r="O13" s="91"/>
      <c r="P13" s="91"/>
      <c r="Q13"/>
      <c r="R13"/>
    </row>
    <row r="14" spans="1:18" ht="15" thickBot="1" x14ac:dyDescent="0.35">
      <c r="A14" s="4"/>
      <c r="B14" s="95" t="s">
        <v>197</v>
      </c>
      <c r="C14" s="88">
        <f>'Cost Schedule '!C33</f>
        <v>0.34643339951242424</v>
      </c>
      <c r="D14" s="88">
        <f>'Cost Schedule '!D33</f>
        <v>0.24437455945345105</v>
      </c>
      <c r="E14" s="88">
        <f>'Cost Schedule '!E33</f>
        <v>0.26377202509538078</v>
      </c>
      <c r="F14" s="88">
        <f>'Cost Schedule '!F33</f>
        <v>0.27057781969177197</v>
      </c>
      <c r="G14" s="88">
        <f>'Cost Schedule '!G33</f>
        <v>0.23623618012575978</v>
      </c>
      <c r="H14" s="88">
        <f>'Cost Schedule '!H33</f>
        <v>0.26746456973986338</v>
      </c>
      <c r="I14" s="88">
        <f>'Cost Schedule '!I33</f>
        <v>0.25583191244357706</v>
      </c>
      <c r="J14" s="92">
        <f>'Cost Schedule '!J33</f>
        <v>0.25752762050024303</v>
      </c>
      <c r="K14" s="92">
        <f>'Cost Schedule '!K33</f>
        <v>0.25752762050024303</v>
      </c>
      <c r="L14" s="92">
        <f>'Cost Schedule '!L33</f>
        <v>0.25752762050024303</v>
      </c>
      <c r="M14" s="92">
        <f>'Cost Schedule '!M33</f>
        <v>0.25752762050024303</v>
      </c>
      <c r="N14" s="92">
        <f>'Cost Schedule '!N33</f>
        <v>0.25752762050024303</v>
      </c>
      <c r="O14" s="92">
        <f>'Cost Schedule '!O33</f>
        <v>0.25752762050024303</v>
      </c>
      <c r="P14" s="92">
        <f>'Cost Schedule '!P33</f>
        <v>0.25752762050024303</v>
      </c>
      <c r="Q14"/>
      <c r="R14"/>
    </row>
    <row r="15" spans="1:18" ht="15" thickBot="1" x14ac:dyDescent="0.35">
      <c r="A15" s="4"/>
      <c r="B15" s="95"/>
      <c r="C15" s="57"/>
      <c r="D15" s="57"/>
      <c r="E15" s="57"/>
      <c r="F15" s="57"/>
      <c r="G15" s="57"/>
      <c r="H15" s="57"/>
      <c r="I15" s="57"/>
      <c r="J15" s="91"/>
      <c r="K15" s="91"/>
      <c r="L15" s="91"/>
      <c r="M15" s="91"/>
      <c r="N15" s="91"/>
      <c r="O15" s="91"/>
      <c r="P15" s="91"/>
      <c r="Q15"/>
      <c r="R15"/>
    </row>
    <row r="16" spans="1:18" ht="15" thickBot="1" x14ac:dyDescent="0.35">
      <c r="A16" s="4"/>
      <c r="B16" s="95" t="s">
        <v>195</v>
      </c>
      <c r="C16" s="88">
        <f>'Cost Schedule '!C29</f>
        <v>0.20968242380821861</v>
      </c>
      <c r="D16" s="88">
        <f>'Cost Schedule '!D29</f>
        <v>0.20192248837239377</v>
      </c>
      <c r="E16" s="88">
        <f>'Cost Schedule '!E29</f>
        <v>0.18828742690013958</v>
      </c>
      <c r="F16" s="88">
        <f>'Cost Schedule '!F29</f>
        <v>0.18620130076837862</v>
      </c>
      <c r="G16" s="88">
        <f>'Cost Schedule '!G29</f>
        <v>0.19753689292692578</v>
      </c>
      <c r="H16" s="88">
        <f>'Cost Schedule '!H29</f>
        <v>0.20267429649591184</v>
      </c>
      <c r="I16" s="88">
        <f>'Cost Schedule '!I29</f>
        <v>0.19210518835825435</v>
      </c>
      <c r="J16" s="92">
        <f>'Cost Schedule '!J29</f>
        <v>0.19462941963736763</v>
      </c>
      <c r="K16" s="92">
        <f>'Cost Schedule '!K29</f>
        <v>0.19462941963736763</v>
      </c>
      <c r="L16" s="92">
        <f>'Cost Schedule '!L29</f>
        <v>0.19462941963736763</v>
      </c>
      <c r="M16" s="92">
        <f>'Cost Schedule '!M29</f>
        <v>0.19462941963736763</v>
      </c>
      <c r="N16" s="92">
        <f>'Cost Schedule '!N29</f>
        <v>0.19462941963736763</v>
      </c>
      <c r="O16" s="92">
        <f>'Cost Schedule '!O29</f>
        <v>0.19462941963736763</v>
      </c>
      <c r="P16" s="92">
        <f>'Cost Schedule '!P29</f>
        <v>0.19462941963736763</v>
      </c>
      <c r="Q16"/>
      <c r="R16"/>
    </row>
    <row r="17" spans="1:18" x14ac:dyDescent="0.3">
      <c r="A17" s="4"/>
      <c r="B17" s="57"/>
      <c r="C17" s="57"/>
      <c r="D17" s="57"/>
      <c r="E17" s="57"/>
      <c r="F17" s="57"/>
      <c r="G17" s="57"/>
      <c r="H17" s="57"/>
      <c r="I17" s="57"/>
      <c r="J17" s="91"/>
      <c r="K17" s="91"/>
      <c r="L17" s="91"/>
      <c r="M17" s="91"/>
      <c r="N17" s="91"/>
      <c r="O17" s="91"/>
      <c r="P17" s="91"/>
      <c r="Q17"/>
    </row>
    <row r="18" spans="1:18" ht="15" thickBot="1" x14ac:dyDescent="0.35">
      <c r="A18" s="4"/>
      <c r="B18" s="61" t="s">
        <v>226</v>
      </c>
      <c r="C18" s="61"/>
      <c r="D18" s="61"/>
      <c r="E18" s="61"/>
      <c r="F18" s="61"/>
      <c r="G18" s="61"/>
      <c r="H18" s="61"/>
      <c r="I18" s="61"/>
      <c r="J18" s="94"/>
      <c r="K18" s="94"/>
      <c r="L18" s="94"/>
      <c r="M18" s="94"/>
      <c r="N18" s="94"/>
      <c r="O18" s="94"/>
      <c r="P18" s="94"/>
    </row>
    <row r="19" spans="1:18" ht="15" thickBot="1" x14ac:dyDescent="0.35">
      <c r="A19" s="4"/>
      <c r="B19" s="95" t="s">
        <v>204</v>
      </c>
      <c r="C19" s="73">
        <f>'Asset Schedule'!C17</f>
        <v>0</v>
      </c>
      <c r="D19" s="73">
        <f>'Asset Schedule'!D17</f>
        <v>6.7479849793334941</v>
      </c>
      <c r="E19" s="73">
        <f>'Asset Schedule'!E17</f>
        <v>7.3849985383075865</v>
      </c>
      <c r="F19" s="73">
        <f>'Asset Schedule'!F17</f>
        <v>7.9705114542983928</v>
      </c>
      <c r="G19" s="73">
        <f>'Asset Schedule'!G17</f>
        <v>7.5841909848879627</v>
      </c>
      <c r="H19" s="73">
        <f>'Asset Schedule'!H17</f>
        <v>6.3711579523263149</v>
      </c>
      <c r="I19" s="73">
        <f>'Asset Schedule'!I17</f>
        <v>6.3427210961305969</v>
      </c>
      <c r="J19" s="93">
        <f>'Asset Schedule'!J17</f>
        <v>7.0669275008807242</v>
      </c>
      <c r="K19" s="93">
        <f>'Asset Schedule'!K17</f>
        <v>7.1200845878052625</v>
      </c>
      <c r="L19" s="93">
        <f>'Asset Schedule'!L17</f>
        <v>7.0759322627215413</v>
      </c>
      <c r="M19" s="93">
        <f>'Asset Schedule'!M17</f>
        <v>6.9268357307920674</v>
      </c>
      <c r="N19" s="93">
        <f>'Asset Schedule'!N17</f>
        <v>6.8172765217760842</v>
      </c>
      <c r="O19" s="93">
        <f>'Asset Schedule'!O17</f>
        <v>6.89162961668438</v>
      </c>
      <c r="P19" s="93">
        <f>'Asset Schedule'!P17</f>
        <v>6.9831143701100089</v>
      </c>
      <c r="Q19"/>
    </row>
    <row r="20" spans="1:18" ht="15" thickBot="1" x14ac:dyDescent="0.35">
      <c r="A20" s="4"/>
      <c r="B20" s="95"/>
      <c r="C20" s="57"/>
      <c r="D20" s="57"/>
      <c r="E20" s="57"/>
      <c r="F20" s="57"/>
      <c r="G20" s="57"/>
      <c r="H20" s="57"/>
      <c r="I20" s="57"/>
      <c r="J20" s="91"/>
      <c r="K20" s="91"/>
      <c r="L20" s="91"/>
      <c r="M20" s="91"/>
      <c r="N20" s="91"/>
      <c r="O20" s="91"/>
      <c r="P20" s="91"/>
      <c r="Q20"/>
    </row>
    <row r="21" spans="1:18" ht="15" thickBot="1" x14ac:dyDescent="0.35">
      <c r="A21" s="4"/>
      <c r="B21" s="95" t="s">
        <v>205</v>
      </c>
      <c r="C21" s="89">
        <f>'Asset Schedule'!C23</f>
        <v>0</v>
      </c>
      <c r="D21" s="89">
        <f>'Asset Schedule'!D23</f>
        <v>-4.3997902565740698E-4</v>
      </c>
      <c r="E21" s="89">
        <f>'Asset Schedule'!E23</f>
        <v>-1.2199509770851606E-3</v>
      </c>
      <c r="F21" s="89">
        <f>'Asset Schedule'!F23</f>
        <v>-1.7817171016650034E-3</v>
      </c>
      <c r="G21" s="89">
        <f>'Asset Schedule'!G23</f>
        <v>-3.6491290106454265E-2</v>
      </c>
      <c r="H21" s="89">
        <f>'Asset Schedule'!H23</f>
        <v>-2.451311900184646E-2</v>
      </c>
      <c r="I21" s="89">
        <f>'Asset Schedule'!I23</f>
        <v>-1.619026745756241E-3</v>
      </c>
      <c r="J21" s="90">
        <f>'Asset Schedule'!J23</f>
        <v>-1.101084715974409E-2</v>
      </c>
      <c r="K21" s="90">
        <f>'Asset Schedule'!K23</f>
        <v>-1.2772658515425203E-2</v>
      </c>
      <c r="L21" s="90">
        <f>'Asset Schedule'!L23</f>
        <v>-1.4698109771815212E-2</v>
      </c>
      <c r="M21" s="90">
        <f>'Asset Schedule'!M23</f>
        <v>-1.6850841883506915E-2</v>
      </c>
      <c r="N21" s="90">
        <f>'Asset Schedule'!N23</f>
        <v>-1.357743384634902E-2</v>
      </c>
      <c r="O21" s="90">
        <f>'Asset Schedule'!O23</f>
        <v>-1.1754819653766112E-2</v>
      </c>
      <c r="P21" s="90">
        <f>'Asset Schedule'!P23</f>
        <v>-1.3444118471767756E-2</v>
      </c>
      <c r="Q21"/>
    </row>
    <row r="22" spans="1:18" ht="15" thickBot="1" x14ac:dyDescent="0.35">
      <c r="A22" s="4"/>
      <c r="B22" s="95"/>
      <c r="C22" s="57"/>
      <c r="D22" s="57"/>
      <c r="E22" s="57"/>
      <c r="F22" s="57"/>
      <c r="G22" s="57"/>
      <c r="H22" s="57"/>
      <c r="I22" s="57"/>
      <c r="J22" s="91"/>
      <c r="K22" s="91"/>
      <c r="L22" s="91"/>
      <c r="M22" s="91"/>
      <c r="N22" s="91"/>
      <c r="O22" s="91"/>
      <c r="P22" s="91"/>
      <c r="Q22"/>
    </row>
    <row r="23" spans="1:18" ht="15" thickBot="1" x14ac:dyDescent="0.35">
      <c r="A23" s="4"/>
      <c r="B23" s="95" t="s">
        <v>206</v>
      </c>
      <c r="C23" s="53">
        <f>'Asset Schedule'!C28</f>
        <v>0</v>
      </c>
      <c r="D23" s="53">
        <f>'Asset Schedule'!D28</f>
        <v>-0.19419546691605283</v>
      </c>
      <c r="E23" s="53">
        <f>'Asset Schedule'!E28</f>
        <v>-0.19581063226496045</v>
      </c>
      <c r="F23" s="53">
        <f>'Asset Schedule'!F28</f>
        <v>-0.17260032275416889</v>
      </c>
      <c r="G23" s="53">
        <f>'Asset Schedule'!G28</f>
        <v>-0.15793815586177004</v>
      </c>
      <c r="H23" s="53">
        <f>'Asset Schedule'!H28</f>
        <v>-0.18867604625533371</v>
      </c>
      <c r="I23" s="53">
        <f>'Asset Schedule'!I28</f>
        <v>-0.19561071382865489</v>
      </c>
      <c r="J23" s="92">
        <f>'Asset Schedule'!J28</f>
        <v>-0.18413855631349016</v>
      </c>
      <c r="K23" s="92">
        <f>'Asset Schedule'!K28</f>
        <v>-0.18246240454639637</v>
      </c>
      <c r="L23" s="92">
        <f>'Asset Schedule'!L28</f>
        <v>-0.18023769992663566</v>
      </c>
      <c r="M23" s="92">
        <f>'Asset Schedule'!M28</f>
        <v>-0.18151059612204681</v>
      </c>
      <c r="N23" s="92">
        <f>'Asset Schedule'!N28</f>
        <v>-0.18543933616542627</v>
      </c>
      <c r="O23" s="92">
        <f>'Asset Schedule'!O28</f>
        <v>-0.18489988448377501</v>
      </c>
      <c r="P23" s="92">
        <f>'Asset Schedule'!P28</f>
        <v>-0.1831147462596284</v>
      </c>
      <c r="Q23"/>
      <c r="R23"/>
    </row>
    <row r="24" spans="1:18" s="8" customFormat="1" x14ac:dyDescent="0.3">
      <c r="B24" s="57"/>
      <c r="C24" s="57"/>
      <c r="D24" s="57"/>
      <c r="E24" s="57"/>
      <c r="F24" s="57"/>
      <c r="G24" s="57"/>
      <c r="H24" s="57"/>
      <c r="I24" s="57"/>
      <c r="J24" s="91"/>
      <c r="K24" s="91"/>
      <c r="L24" s="91"/>
      <c r="M24" s="91"/>
      <c r="N24" s="91"/>
      <c r="O24" s="91"/>
      <c r="P24" s="91"/>
      <c r="Q24"/>
      <c r="R24"/>
    </row>
    <row r="25" spans="1:18" ht="15" thickBot="1" x14ac:dyDescent="0.35">
      <c r="A25" s="4"/>
      <c r="B25" s="61" t="s">
        <v>236</v>
      </c>
      <c r="C25" s="61"/>
      <c r="D25" s="61"/>
      <c r="E25" s="61"/>
      <c r="F25" s="61"/>
      <c r="G25" s="61"/>
      <c r="H25" s="61"/>
      <c r="I25" s="61"/>
      <c r="J25" s="94"/>
      <c r="K25" s="94"/>
      <c r="L25" s="94"/>
      <c r="M25" s="94"/>
      <c r="N25" s="94"/>
      <c r="O25" s="94"/>
      <c r="P25" s="94"/>
    </row>
    <row r="26" spans="1:18" ht="15" thickBot="1" x14ac:dyDescent="0.35">
      <c r="A26" s="4"/>
      <c r="B26" s="8" t="s">
        <v>234</v>
      </c>
      <c r="C26" s="53">
        <f>'Debt Schedule'!C20</f>
        <v>0</v>
      </c>
      <c r="D26" s="53">
        <f>'Debt Schedule'!D20</f>
        <v>6.2153273187321931E-2</v>
      </c>
      <c r="E26" s="53">
        <f>'Debt Schedule'!E20</f>
        <v>0</v>
      </c>
      <c r="F26" s="53">
        <f>'Debt Schedule'!F20</f>
        <v>4.9413352612359983E-2</v>
      </c>
      <c r="G26" s="53">
        <f>'Debt Schedule'!G20</f>
        <v>0</v>
      </c>
      <c r="H26" s="53">
        <f>'Debt Schedule'!H20</f>
        <v>0</v>
      </c>
      <c r="I26" s="53">
        <f>'Debt Schedule'!I20</f>
        <v>0</v>
      </c>
      <c r="J26" s="92">
        <f>'Debt Schedule'!J20</f>
        <v>1.5938089399954558E-2</v>
      </c>
      <c r="K26" s="92">
        <f>'Debt Schedule'!K20</f>
        <v>1.5938089399954558E-2</v>
      </c>
      <c r="L26" s="92">
        <f>'Debt Schedule'!L20</f>
        <v>1.5938089399954558E-2</v>
      </c>
      <c r="M26" s="92">
        <f>'Debt Schedule'!M20</f>
        <v>1.5938089399954558E-2</v>
      </c>
      <c r="N26" s="92">
        <f>'Debt Schedule'!N20</f>
        <v>1.5938089399954558E-2</v>
      </c>
      <c r="O26" s="92">
        <f>'Debt Schedule'!O20</f>
        <v>1.5938089399954558E-2</v>
      </c>
      <c r="P26" s="92">
        <f>'Debt Schedule'!P20</f>
        <v>1.5938089399954558E-2</v>
      </c>
      <c r="Q26" s="8"/>
    </row>
    <row r="27" spans="1:18" ht="15" thickBot="1" x14ac:dyDescent="0.35">
      <c r="A27" s="4"/>
      <c r="B27" s="8"/>
      <c r="C27" s="53"/>
      <c r="D27" s="53"/>
      <c r="E27" s="53"/>
      <c r="F27" s="53"/>
      <c r="G27" s="53"/>
      <c r="H27" s="53"/>
      <c r="I27" s="53"/>
      <c r="J27"/>
      <c r="K27"/>
      <c r="L27"/>
      <c r="M27"/>
      <c r="N27"/>
      <c r="O27"/>
      <c r="P27"/>
      <c r="Q27" s="8"/>
    </row>
    <row r="28" spans="1:18" ht="15" thickBot="1" x14ac:dyDescent="0.35">
      <c r="A28" s="4"/>
      <c r="B28" s="8" t="s">
        <v>231</v>
      </c>
      <c r="C28" s="53">
        <f>'Debt Schedule'!C26</f>
        <v>0</v>
      </c>
      <c r="D28" s="53">
        <f>'Debt Schedule'!D26</f>
        <v>0</v>
      </c>
      <c r="E28" s="53">
        <f>'Debt Schedule'!E26</f>
        <v>0</v>
      </c>
      <c r="F28" s="53">
        <f>'Debt Schedule'!F26</f>
        <v>-2.3711133400200601E-2</v>
      </c>
      <c r="G28" s="53">
        <f>'Debt Schedule'!G26</f>
        <v>-9.9336624280400007E-2</v>
      </c>
      <c r="H28" s="53">
        <f>'Debt Schedule'!H26</f>
        <v>0</v>
      </c>
      <c r="I28" s="53">
        <f>'Debt Schedule'!I26</f>
        <v>0</v>
      </c>
      <c r="J28" s="92">
        <f>'Debt Schedule'!J26</f>
        <v>-2.0507959613433435E-2</v>
      </c>
      <c r="K28" s="92">
        <f>'Debt Schedule'!K26</f>
        <v>-2.0507959613433435E-2</v>
      </c>
      <c r="L28" s="92">
        <f>'Debt Schedule'!L26</f>
        <v>-2.0507959613433435E-2</v>
      </c>
      <c r="M28" s="92">
        <f>'Debt Schedule'!M26</f>
        <v>-2.0507959613433435E-2</v>
      </c>
      <c r="N28" s="92">
        <f>'Debt Schedule'!N26</f>
        <v>-2.0507959613433435E-2</v>
      </c>
      <c r="O28" s="92">
        <f>'Debt Schedule'!O26</f>
        <v>-2.0507959613433435E-2</v>
      </c>
      <c r="P28" s="92">
        <f>'Debt Schedule'!P26</f>
        <v>-2.0507959613433435E-2</v>
      </c>
      <c r="Q28" s="8"/>
    </row>
    <row r="29" spans="1:18" ht="15" thickBot="1" x14ac:dyDescent="0.35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8" ht="15" thickBot="1" x14ac:dyDescent="0.35">
      <c r="A30" s="4"/>
      <c r="B30" s="8" t="s">
        <v>248</v>
      </c>
      <c r="C30" s="53">
        <f>'Debt Schedule'!C31</f>
        <v>0.13172004057382988</v>
      </c>
      <c r="D30" s="53">
        <f>'Debt Schedule'!D31</f>
        <v>9.3095328890422324E-2</v>
      </c>
      <c r="E30" s="53">
        <f>'Debt Schedule'!E31</f>
        <v>6.1590238863496259E-2</v>
      </c>
      <c r="F30" s="53">
        <f>'Debt Schedule'!F31</f>
        <v>6.338642259225824E-2</v>
      </c>
      <c r="G30" s="53">
        <f>'Debt Schedule'!G31</f>
        <v>6.2100054167699523E-2</v>
      </c>
      <c r="H30" s="53">
        <f>'Debt Schedule'!H31</f>
        <v>6.5316266139888321E-2</v>
      </c>
      <c r="I30" s="53">
        <f>'Debt Schedule'!I31</f>
        <v>8.4997458649471225E-2</v>
      </c>
      <c r="J30" s="92">
        <f>'Debt Schedule'!J31</f>
        <v>8.0315115696723685E-2</v>
      </c>
      <c r="K30" s="92">
        <f>'Debt Schedule'!K31</f>
        <v>8.0315115696723685E-2</v>
      </c>
      <c r="L30" s="92">
        <f>'Debt Schedule'!L31</f>
        <v>8.0315115696723685E-2</v>
      </c>
      <c r="M30" s="92">
        <f>'Debt Schedule'!M31</f>
        <v>8.0315115696723685E-2</v>
      </c>
      <c r="N30" s="92">
        <f>'Debt Schedule'!N31</f>
        <v>8.0315115696723685E-2</v>
      </c>
      <c r="O30" s="92">
        <f>'Debt Schedule'!O31</f>
        <v>8.0315115696723685E-2</v>
      </c>
      <c r="P30" s="92">
        <f>'Debt Schedule'!P31</f>
        <v>8.0315115696723685E-2</v>
      </c>
      <c r="Q30" s="8"/>
    </row>
    <row r="31" spans="1:18" x14ac:dyDescent="0.3">
      <c r="A31" s="4"/>
    </row>
    <row r="32" spans="1:18" ht="15" thickBot="1" x14ac:dyDescent="0.35">
      <c r="A32" s="4"/>
      <c r="B32" s="61" t="s">
        <v>267</v>
      </c>
      <c r="C32" s="61"/>
      <c r="D32" s="61"/>
      <c r="E32" s="61"/>
      <c r="F32" s="61"/>
      <c r="G32" s="61"/>
      <c r="H32" s="61"/>
      <c r="I32" s="61"/>
      <c r="J32" s="94"/>
      <c r="K32" s="94"/>
      <c r="L32" s="94"/>
      <c r="M32" s="94"/>
      <c r="N32" s="94"/>
      <c r="O32" s="94"/>
      <c r="P32" s="94"/>
    </row>
    <row r="33" spans="1:18" ht="15" thickBot="1" x14ac:dyDescent="0.35">
      <c r="A33" s="4"/>
      <c r="B33" s="95" t="s">
        <v>268</v>
      </c>
      <c r="C33" s="73"/>
      <c r="D33" s="73">
        <v>9.101081230211383</v>
      </c>
      <c r="E33" s="73">
        <v>8.3233921798684829</v>
      </c>
      <c r="F33" s="73">
        <v>7.1251494522118923</v>
      </c>
      <c r="G33" s="73">
        <v>7.4910084936053902</v>
      </c>
      <c r="H33" s="73">
        <v>7.995038913783227</v>
      </c>
      <c r="I33" s="73">
        <v>8.7719058786547723</v>
      </c>
      <c r="J33" s="93">
        <v>8.1345960247225193</v>
      </c>
      <c r="K33" s="93">
        <v>7.9735151571410476</v>
      </c>
      <c r="L33" s="93">
        <v>7.9152023200198087</v>
      </c>
      <c r="M33" s="93">
        <v>8.0468777979877952</v>
      </c>
      <c r="N33" s="93">
        <v>8.1395226820515294</v>
      </c>
      <c r="O33" s="93">
        <v>8.1636033100962475</v>
      </c>
      <c r="P33" s="93">
        <v>8.0622195486698249</v>
      </c>
      <c r="Q33"/>
      <c r="R33"/>
    </row>
    <row r="34" spans="1:18" ht="15" thickBot="1" x14ac:dyDescent="0.35">
      <c r="A34" s="4"/>
    </row>
    <row r="35" spans="1:18" ht="15" thickBot="1" x14ac:dyDescent="0.35">
      <c r="A35" s="4"/>
      <c r="B35" s="95" t="s">
        <v>256</v>
      </c>
      <c r="C35" s="73"/>
      <c r="D35" s="73">
        <v>32.464455639518611</v>
      </c>
      <c r="E35" s="73">
        <v>45.482886969167119</v>
      </c>
      <c r="F35" s="73">
        <v>47.984589273591304</v>
      </c>
      <c r="G35" s="73">
        <v>49.330579387776716</v>
      </c>
      <c r="H35" s="73">
        <v>46.434906613870162</v>
      </c>
      <c r="I35" s="73">
        <v>42.622205857899615</v>
      </c>
      <c r="J35" s="93">
        <v>44.053270623637253</v>
      </c>
      <c r="K35" s="93">
        <v>44.053270623637253</v>
      </c>
      <c r="L35" s="93">
        <v>44.053270623637253</v>
      </c>
      <c r="M35" s="93">
        <v>44.053270623637253</v>
      </c>
      <c r="N35" s="93">
        <v>44.053270623637253</v>
      </c>
      <c r="O35" s="93">
        <v>44.053270623637253</v>
      </c>
      <c r="P35" s="93">
        <v>44.053270623637253</v>
      </c>
    </row>
    <row r="36" spans="1:18" ht="15" thickBot="1" x14ac:dyDescent="0.35">
      <c r="A36" s="4"/>
    </row>
    <row r="37" spans="1:18" ht="15" thickBot="1" x14ac:dyDescent="0.35">
      <c r="A37" s="4"/>
      <c r="B37" s="95" t="s">
        <v>261</v>
      </c>
      <c r="C37" s="73"/>
      <c r="D37" s="73">
        <v>0.89027250161142113</v>
      </c>
      <c r="E37" s="73">
        <v>0.98307610881761409</v>
      </c>
      <c r="F37" s="73">
        <v>1.0324618207737455</v>
      </c>
      <c r="G37" s="73">
        <v>0.96487252942322554</v>
      </c>
      <c r="H37" s="73">
        <v>0.61208793709305687</v>
      </c>
      <c r="I37" s="73">
        <v>0.47894641847969205</v>
      </c>
      <c r="J37" s="93">
        <v>0.82695288603312589</v>
      </c>
      <c r="K37" s="93">
        <v>0.82695288603312589</v>
      </c>
      <c r="L37" s="93">
        <v>0.82695288603312589</v>
      </c>
      <c r="M37" s="93">
        <v>0.82695288603312589</v>
      </c>
      <c r="N37" s="93">
        <v>0.82695288603312589</v>
      </c>
      <c r="O37" s="93">
        <v>0.82695288603312589</v>
      </c>
      <c r="P37" s="93">
        <v>0.82695288603312589</v>
      </c>
    </row>
    <row r="38" spans="1:18" x14ac:dyDescent="0.3">
      <c r="A38" s="4"/>
    </row>
    <row r="39" spans="1:18" x14ac:dyDescent="0.3">
      <c r="A39" s="4"/>
    </row>
    <row r="40" spans="1:18" x14ac:dyDescent="0.3">
      <c r="A40" s="4"/>
    </row>
    <row r="41" spans="1:18" x14ac:dyDescent="0.3">
      <c r="A41" s="4"/>
    </row>
    <row r="42" spans="1:18" x14ac:dyDescent="0.3">
      <c r="A42" s="4"/>
    </row>
    <row r="43" spans="1:18" x14ac:dyDescent="0.3">
      <c r="A43" s="4"/>
    </row>
    <row r="44" spans="1:18" x14ac:dyDescent="0.3">
      <c r="A44" s="4"/>
    </row>
    <row r="45" spans="1:18" x14ac:dyDescent="0.3">
      <c r="A45" s="4"/>
    </row>
    <row r="46" spans="1:18" x14ac:dyDescent="0.3">
      <c r="A46" s="4"/>
    </row>
    <row r="47" spans="1:18" x14ac:dyDescent="0.3">
      <c r="A47" s="4"/>
    </row>
    <row r="48" spans="1:18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</sheetData>
  <mergeCells count="2">
    <mergeCell ref="B1:D1"/>
    <mergeCell ref="B2:D2"/>
  </mergeCells>
  <pageMargins left="0.7" right="0.7" top="0.75" bottom="0.75" header="0.3" footer="0.3"/>
  <pageSetup scale="5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52A3-8FF0-47B9-A90D-350DD988A694}">
  <sheetPr>
    <pageSetUpPr fitToPage="1"/>
  </sheetPr>
  <dimension ref="A1:P268"/>
  <sheetViews>
    <sheetView showGridLines="0" topLeftCell="G1" zoomScale="88" zoomScaleNormal="85" workbookViewId="0">
      <selection activeCell="K13" sqref="K1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184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129" t="s">
        <v>178</v>
      </c>
      <c r="D8" s="46">
        <f>D13/C13-1</f>
        <v>4.9289576260530765E-2</v>
      </c>
      <c r="E8" s="46">
        <f t="shared" ref="E8" si="0">E13/D13-1</f>
        <v>0.13246979408683979</v>
      </c>
      <c r="F8" s="46">
        <f>F13/E13-1</f>
        <v>7.613499856122119E-2</v>
      </c>
      <c r="G8" s="46">
        <f>G13/F13-1</f>
        <v>0.15310202274151719</v>
      </c>
      <c r="H8" s="46">
        <f>H13/G13-1</f>
        <v>2.8754857964915281E-2</v>
      </c>
      <c r="I8" s="46">
        <f>I13/H13-1</f>
        <v>6.9973230796570141E-2</v>
      </c>
      <c r="J8" s="74">
        <f>I8+I8*10%</f>
        <v>7.6970553876227157E-2</v>
      </c>
      <c r="K8" s="74">
        <f t="shared" ref="K8:P8" si="1">J8+J8*10%</f>
        <v>8.4667609263849877E-2</v>
      </c>
      <c r="L8" s="74">
        <f t="shared" si="1"/>
        <v>9.3134370190234864E-2</v>
      </c>
      <c r="M8" s="74">
        <f t="shared" si="1"/>
        <v>0.10244780720925835</v>
      </c>
      <c r="N8" s="74">
        <f t="shared" si="1"/>
        <v>0.11269258793018419</v>
      </c>
      <c r="O8" s="74">
        <f t="shared" si="1"/>
        <v>0.12396184672320261</v>
      </c>
      <c r="P8" s="74">
        <f t="shared" si="1"/>
        <v>0.13635803139552288</v>
      </c>
    </row>
    <row r="9" spans="1:16" x14ac:dyDescent="0.3">
      <c r="A9" s="4"/>
      <c r="B9" s="42"/>
      <c r="J9" s="49"/>
    </row>
    <row r="10" spans="1:16" x14ac:dyDescent="0.3">
      <c r="A10" s="4"/>
      <c r="B10" s="8" t="s">
        <v>181</v>
      </c>
    </row>
    <row r="11" spans="1:16" ht="15.6" x14ac:dyDescent="0.3">
      <c r="A11" s="4"/>
      <c r="B11" s="43" t="s">
        <v>179</v>
      </c>
      <c r="C11" s="4">
        <f>'Income Statement'!C8</f>
        <v>10973.46</v>
      </c>
      <c r="D11" s="4">
        <f>'Income Statement'!D8</f>
        <v>11443.99</v>
      </c>
      <c r="E11" s="4">
        <f>'Income Statement'!E8</f>
        <v>12883.04</v>
      </c>
      <c r="F11" s="4">
        <f>'Income Statement'!F8</f>
        <v>13944.67</v>
      </c>
      <c r="G11" s="4">
        <f>'Income Statement'!G8</f>
        <v>15984.9</v>
      </c>
      <c r="H11" s="27">
        <v>16546.21</v>
      </c>
      <c r="I11" s="27">
        <v>17535.02</v>
      </c>
      <c r="J11" s="27">
        <f>ROUND(J13*$J16,2)</f>
        <v>19045.97</v>
      </c>
      <c r="K11" s="27">
        <f t="shared" ref="K11:P11" si="2">ROUND(K13*$J16,2)</f>
        <v>20658.55</v>
      </c>
      <c r="L11" s="27">
        <f t="shared" si="2"/>
        <v>22582.57</v>
      </c>
      <c r="M11" s="27">
        <f t="shared" si="2"/>
        <v>24896.1</v>
      </c>
      <c r="N11" s="27">
        <f t="shared" si="2"/>
        <v>27701.71</v>
      </c>
      <c r="O11" s="27">
        <f t="shared" si="2"/>
        <v>31135.66</v>
      </c>
      <c r="P11" s="27">
        <f t="shared" si="2"/>
        <v>35381.26</v>
      </c>
    </row>
    <row r="12" spans="1:16" ht="15.6" x14ac:dyDescent="0.3">
      <c r="A12" s="4"/>
      <c r="B12" s="43" t="s">
        <v>180</v>
      </c>
      <c r="C12" s="4">
        <f>'Income Statement'!C9</f>
        <v>81.209999999999994</v>
      </c>
      <c r="D12" s="4">
        <f>'Income Statement'!D9</f>
        <v>155.56</v>
      </c>
      <c r="E12" s="4">
        <f>'Income Statement'!E9</f>
        <v>253.1</v>
      </c>
      <c r="F12" s="4">
        <f>'Income Statement'!F9</f>
        <v>191.59</v>
      </c>
      <c r="G12" s="4">
        <f>'Income Statement'!G9</f>
        <v>315.64999999999998</v>
      </c>
      <c r="H12" s="27">
        <v>223.06</v>
      </c>
      <c r="I12" s="27">
        <v>407.65</v>
      </c>
      <c r="J12" s="27">
        <f>J13-J11</f>
        <v>277.75724791836547</v>
      </c>
      <c r="K12" s="27">
        <f t="shared" ref="K12:P12" si="3">K13-K11</f>
        <v>301.27103606632954</v>
      </c>
      <c r="L12" s="27">
        <f t="shared" si="3"/>
        <v>329.33076756040464</v>
      </c>
      <c r="M12" s="27">
        <f t="shared" si="3"/>
        <v>363.07476019309252</v>
      </c>
      <c r="N12" s="27">
        <f t="shared" si="3"/>
        <v>403.98653290003858</v>
      </c>
      <c r="O12" s="27">
        <f t="shared" si="3"/>
        <v>454.07057856024039</v>
      </c>
      <c r="P12" s="27">
        <f t="shared" si="3"/>
        <v>515.98405256766273</v>
      </c>
    </row>
    <row r="13" spans="1:16" x14ac:dyDescent="0.3">
      <c r="A13" s="4"/>
      <c r="B13" s="44" t="s">
        <v>182</v>
      </c>
      <c r="C13" s="9">
        <f>SUM(C11:C12)</f>
        <v>11054.669999999998</v>
      </c>
      <c r="D13" s="9">
        <f>SUM(D11:D12)</f>
        <v>11599.55</v>
      </c>
      <c r="E13" s="9">
        <f t="shared" ref="E13:I13" si="4">SUM(E11:E12)</f>
        <v>13136.140000000001</v>
      </c>
      <c r="F13" s="9">
        <f t="shared" si="4"/>
        <v>14136.26</v>
      </c>
      <c r="G13" s="9">
        <f t="shared" si="4"/>
        <v>16300.55</v>
      </c>
      <c r="H13" s="9">
        <f>SUM(H11:H12)</f>
        <v>16769.27</v>
      </c>
      <c r="I13" s="9">
        <f t="shared" si="4"/>
        <v>17942.670000000002</v>
      </c>
      <c r="J13" s="9">
        <f>I13*(1+J8)</f>
        <v>19323.727247918367</v>
      </c>
      <c r="K13" s="9">
        <f t="shared" ref="K13:P13" si="5">J13*(1+K8)</f>
        <v>20959.821036066329</v>
      </c>
      <c r="L13" s="9">
        <f t="shared" si="5"/>
        <v>22911.900767560404</v>
      </c>
      <c r="M13" s="9">
        <f t="shared" si="5"/>
        <v>25259.174760193091</v>
      </c>
      <c r="N13" s="9">
        <f t="shared" si="5"/>
        <v>28105.696532900038</v>
      </c>
      <c r="O13" s="9">
        <f t="shared" si="5"/>
        <v>31589.73057856024</v>
      </c>
      <c r="P13" s="9">
        <f t="shared" si="5"/>
        <v>35897.244052567665</v>
      </c>
    </row>
    <row r="14" spans="1:16" x14ac:dyDescent="0.3">
      <c r="A14" s="4"/>
    </row>
    <row r="15" spans="1:16" x14ac:dyDescent="0.3">
      <c r="A15" s="4"/>
      <c r="B15" s="8" t="s">
        <v>183</v>
      </c>
    </row>
    <row r="16" spans="1:16" x14ac:dyDescent="0.3">
      <c r="A16" s="4"/>
      <c r="B16" s="43" t="s">
        <v>179</v>
      </c>
      <c r="C16" s="46">
        <f>C11/C13</f>
        <v>0.99265378342365718</v>
      </c>
      <c r="D16" s="46">
        <f t="shared" ref="D16:F16" si="6">D11/D13</f>
        <v>0.98658913492333755</v>
      </c>
      <c r="E16" s="46">
        <f t="shared" si="6"/>
        <v>0.98073254395887988</v>
      </c>
      <c r="F16" s="46">
        <f t="shared" si="6"/>
        <v>0.98644691028603038</v>
      </c>
      <c r="G16" s="46">
        <f>G11/G13</f>
        <v>0.98063562272438665</v>
      </c>
      <c r="H16" s="46">
        <f t="shared" ref="H16:I16" si="7">H11/H13</f>
        <v>0.98669828799941794</v>
      </c>
      <c r="I16" s="46">
        <f t="shared" si="7"/>
        <v>0.97728041590242698</v>
      </c>
      <c r="J16" s="46">
        <f>AVERAGE(C16:H16)</f>
        <v>0.98562604721928482</v>
      </c>
      <c r="K16" s="46">
        <v>0.98562604721928482</v>
      </c>
      <c r="L16" s="46">
        <v>0.98562604721928482</v>
      </c>
      <c r="M16" s="46">
        <v>0.98562604721928482</v>
      </c>
      <c r="N16" s="46">
        <v>0.98562604721928482</v>
      </c>
      <c r="O16" s="46">
        <v>0.98562604721928482</v>
      </c>
      <c r="P16" s="46">
        <v>0.98562604721928482</v>
      </c>
    </row>
    <row r="17" spans="1:16" x14ac:dyDescent="0.3">
      <c r="A17" s="4"/>
      <c r="B17" s="43" t="s">
        <v>180</v>
      </c>
      <c r="C17" s="46">
        <f>C12/C13</f>
        <v>7.3462165763428493E-3</v>
      </c>
      <c r="D17" s="46">
        <f t="shared" ref="D17:G17" si="8">D12/D13</f>
        <v>1.3410865076662459E-2</v>
      </c>
      <c r="E17" s="46">
        <f t="shared" si="8"/>
        <v>1.9267456041120144E-2</v>
      </c>
      <c r="F17" s="46">
        <f t="shared" si="8"/>
        <v>1.3553089713969606E-2</v>
      </c>
      <c r="G17" s="46">
        <f t="shared" si="8"/>
        <v>1.9364377275613399E-2</v>
      </c>
      <c r="H17" s="46">
        <f>AVERAGE(C17:G17)</f>
        <v>1.4588400936741691E-2</v>
      </c>
      <c r="I17" s="46">
        <v>0.01</v>
      </c>
      <c r="J17" s="46">
        <v>0.01</v>
      </c>
      <c r="K17" s="46">
        <v>0.01</v>
      </c>
      <c r="L17" s="46">
        <v>0.01</v>
      </c>
      <c r="M17" s="46">
        <v>0.01</v>
      </c>
      <c r="N17" s="46">
        <v>0.01</v>
      </c>
      <c r="O17" s="46">
        <v>0.01</v>
      </c>
      <c r="P17" s="46">
        <v>0.01</v>
      </c>
    </row>
    <row r="18" spans="1:16" x14ac:dyDescent="0.3">
      <c r="A18" s="4"/>
      <c r="B18" s="44" t="s">
        <v>182</v>
      </c>
      <c r="C18" s="50">
        <f>SUM(C16:C17)</f>
        <v>1</v>
      </c>
      <c r="D18" s="50">
        <f t="shared" ref="D18:P18" si="9">SUM(D16:D17)</f>
        <v>1</v>
      </c>
      <c r="E18" s="50">
        <f t="shared" si="9"/>
        <v>1</v>
      </c>
      <c r="F18" s="50">
        <f t="shared" si="9"/>
        <v>1</v>
      </c>
      <c r="G18" s="50">
        <f t="shared" si="9"/>
        <v>1</v>
      </c>
      <c r="H18" s="50">
        <f t="shared" si="9"/>
        <v>1.0012866889361596</v>
      </c>
      <c r="I18" s="50">
        <f t="shared" si="9"/>
        <v>0.98728041590242699</v>
      </c>
      <c r="J18" s="50">
        <f t="shared" si="9"/>
        <v>0.99562604721928483</v>
      </c>
      <c r="K18" s="50">
        <f t="shared" si="9"/>
        <v>0.99562604721928483</v>
      </c>
      <c r="L18" s="50">
        <f t="shared" si="9"/>
        <v>0.99562604721928483</v>
      </c>
      <c r="M18" s="50">
        <f t="shared" si="9"/>
        <v>0.99562604721928483</v>
      </c>
      <c r="N18" s="50">
        <f t="shared" si="9"/>
        <v>0.99562604721928483</v>
      </c>
      <c r="O18" s="50">
        <f t="shared" si="9"/>
        <v>0.99562604721928483</v>
      </c>
      <c r="P18" s="50">
        <f t="shared" si="9"/>
        <v>0.99562604721928483</v>
      </c>
    </row>
    <row r="19" spans="1:16" x14ac:dyDescent="0.3">
      <c r="A19" s="4"/>
    </row>
    <row r="20" spans="1:16" x14ac:dyDescent="0.3">
      <c r="A20" s="4"/>
    </row>
    <row r="21" spans="1:16" x14ac:dyDescent="0.3">
      <c r="A21" s="4"/>
    </row>
    <row r="22" spans="1:16" x14ac:dyDescent="0.3">
      <c r="A22" s="4"/>
      <c r="H22" s="8"/>
      <c r="I22" s="8"/>
      <c r="J22" s="8"/>
    </row>
    <row r="23" spans="1:16" s="8" customFormat="1" x14ac:dyDescent="0.3">
      <c r="H23" s="4"/>
      <c r="I23" s="4"/>
      <c r="J23" s="4"/>
    </row>
    <row r="24" spans="1:16" x14ac:dyDescent="0.3">
      <c r="A24" s="4"/>
    </row>
    <row r="25" spans="1:16" x14ac:dyDescent="0.3">
      <c r="A25" s="4"/>
    </row>
    <row r="26" spans="1:16" x14ac:dyDescent="0.3">
      <c r="A26" s="4"/>
    </row>
    <row r="27" spans="1:16" x14ac:dyDescent="0.3">
      <c r="A27" s="4"/>
    </row>
    <row r="28" spans="1:16" x14ac:dyDescent="0.3">
      <c r="A28" s="4"/>
    </row>
    <row r="29" spans="1:16" x14ac:dyDescent="0.3">
      <c r="A29" s="4"/>
    </row>
    <row r="30" spans="1:16" x14ac:dyDescent="0.3">
      <c r="A30" s="4"/>
    </row>
    <row r="31" spans="1:16" x14ac:dyDescent="0.3">
      <c r="A31" s="4"/>
    </row>
    <row r="32" spans="1:1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28E5-BC3D-4A21-8331-EE4165B18FEA}">
  <sheetPr>
    <pageSetUpPr fitToPage="1"/>
  </sheetPr>
  <dimension ref="A1:AB270"/>
  <sheetViews>
    <sheetView showGridLines="0" topLeftCell="B13" zoomScale="68" zoomScaleNormal="101" workbookViewId="0">
      <selection activeCell="J33" sqref="J3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192</v>
      </c>
      <c r="C2" s="178"/>
      <c r="D2" s="178"/>
    </row>
    <row r="4" spans="1:16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6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6" x14ac:dyDescent="0.3">
      <c r="A6" s="4"/>
    </row>
    <row r="7" spans="1:16" x14ac:dyDescent="0.3">
      <c r="A7" s="4"/>
      <c r="B7" s="52" t="s">
        <v>185</v>
      </c>
      <c r="C7" s="52">
        <f>'Income Statement'!C10</f>
        <v>11054.669999999998</v>
      </c>
      <c r="D7" s="52">
        <f>'Income Statement'!D10</f>
        <v>11599.55</v>
      </c>
      <c r="E7" s="52">
        <f>'Income Statement'!E10</f>
        <v>13136.140000000001</v>
      </c>
      <c r="F7" s="52">
        <f>'Income Statement'!F10</f>
        <v>14136.26</v>
      </c>
      <c r="G7" s="52">
        <f>'Income Statement'!G10</f>
        <v>16300.55</v>
      </c>
      <c r="H7" s="52">
        <f>'Income Statement'!H10</f>
        <v>16769.27</v>
      </c>
      <c r="I7" s="52">
        <f>'Income Statement'!I10</f>
        <v>17942.670000000002</v>
      </c>
      <c r="J7" s="52">
        <f>'Income Statement'!J10</f>
        <v>19323.727247918367</v>
      </c>
      <c r="K7" s="52">
        <f>'Income Statement'!K10</f>
        <v>20959.821036066329</v>
      </c>
      <c r="L7" s="52">
        <f>'Income Statement'!L10</f>
        <v>22911.900767560404</v>
      </c>
      <c r="M7" s="52">
        <f>'Income Statement'!M10</f>
        <v>25259.174760193091</v>
      </c>
      <c r="N7" s="52">
        <f>'Income Statement'!N10</f>
        <v>28105.696532900038</v>
      </c>
      <c r="O7" s="52">
        <f>'Income Statement'!O10</f>
        <v>31589.73057856024</v>
      </c>
      <c r="P7" s="52">
        <f>'Income Statement'!P10</f>
        <v>35897.244052567665</v>
      </c>
    </row>
    <row r="8" spans="1:16" x14ac:dyDescent="0.3">
      <c r="A8" s="4"/>
    </row>
    <row r="9" spans="1:16" x14ac:dyDescent="0.3">
      <c r="A9" s="4"/>
      <c r="B9" s="60" t="s">
        <v>186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</row>
    <row r="10" spans="1:16" x14ac:dyDescent="0.3">
      <c r="A10" s="4"/>
      <c r="B10" s="4" t="s">
        <v>187</v>
      </c>
      <c r="C10" s="4">
        <f>'Income Statement'!C14</f>
        <v>5513.01</v>
      </c>
      <c r="D10" s="4">
        <f>'Income Statement'!D14</f>
        <v>5901.16</v>
      </c>
      <c r="E10" s="4">
        <f>'Income Statement'!E14</f>
        <v>6502.33</v>
      </c>
      <c r="F10" s="4">
        <f>'Income Statement'!F14</f>
        <v>7473.97</v>
      </c>
      <c r="G10" s="4">
        <f>'Income Statement'!G14</f>
        <v>8326.7000000000007</v>
      </c>
      <c r="H10" s="4">
        <f>'Income Statement'!H14</f>
        <v>8546.89</v>
      </c>
      <c r="I10" s="4">
        <f>'Income Statement'!I14</f>
        <v>9859.4500000000007</v>
      </c>
      <c r="J10" s="4">
        <f>J13*$J18</f>
        <v>9791.2203050055505</v>
      </c>
      <c r="K10" s="4">
        <f t="shared" ref="K10:P10" si="0">K13*$J18</f>
        <v>10952.21252278357</v>
      </c>
      <c r="L10" s="4">
        <f t="shared" si="0"/>
        <v>11373.62794136849</v>
      </c>
      <c r="M10" s="4">
        <f t="shared" si="0"/>
        <v>12978.790172887069</v>
      </c>
      <c r="N10" s="4">
        <f t="shared" si="0"/>
        <v>15175.712284605057</v>
      </c>
      <c r="O10" s="4">
        <f t="shared" si="0"/>
        <v>16781.809965958488</v>
      </c>
      <c r="P10" s="4">
        <f t="shared" si="0"/>
        <v>18444.893895640176</v>
      </c>
    </row>
    <row r="11" spans="1:16" x14ac:dyDescent="0.3">
      <c r="A11" s="4"/>
      <c r="B11" s="4" t="s">
        <v>188</v>
      </c>
      <c r="C11" s="4">
        <f>'Income Statement'!C15</f>
        <v>1103.6300000000001</v>
      </c>
      <c r="D11" s="4">
        <f>'Income Statement'!D15</f>
        <v>973.74</v>
      </c>
      <c r="E11" s="4">
        <f>'Income Statement'!E15</f>
        <v>1160.8900000000001</v>
      </c>
      <c r="F11" s="4">
        <f>'Income Statement'!F15</f>
        <v>1361.59</v>
      </c>
      <c r="G11" s="4">
        <f>'Income Statement'!G15</f>
        <v>1337.13</v>
      </c>
      <c r="H11" s="4">
        <f>'Income Statement'!H15</f>
        <v>941.48</v>
      </c>
      <c r="I11" s="4">
        <f>'Income Statement'!I15</f>
        <v>809.35</v>
      </c>
      <c r="J11" s="4">
        <f>J13*$J19</f>
        <v>1495.8294937501294</v>
      </c>
      <c r="K11" s="4">
        <f t="shared" ref="K11:P11" si="1">K13*$J19</f>
        <v>1673.1972116921829</v>
      </c>
      <c r="L11" s="4">
        <f t="shared" si="1"/>
        <v>1737.5779111968318</v>
      </c>
      <c r="M11" s="4">
        <f t="shared" si="1"/>
        <v>1982.802605705215</v>
      </c>
      <c r="N11" s="4">
        <f t="shared" si="1"/>
        <v>2318.4319540204165</v>
      </c>
      <c r="O11" s="4">
        <f t="shared" si="1"/>
        <v>2563.7995595663729</v>
      </c>
      <c r="P11" s="4">
        <f t="shared" si="1"/>
        <v>2817.8730984211729</v>
      </c>
    </row>
    <row r="12" spans="1:16" ht="28.8" x14ac:dyDescent="0.3">
      <c r="A12" s="4"/>
      <c r="B12" s="51" t="s">
        <v>189</v>
      </c>
      <c r="C12" s="4">
        <f>'Income Statement'!C16</f>
        <v>-55.18</v>
      </c>
      <c r="D12" s="4">
        <f>'Income Statement'!D16</f>
        <v>52.57</v>
      </c>
      <c r="E12" s="4">
        <f>'Income Statement'!E16</f>
        <v>-37.119999999999997</v>
      </c>
      <c r="F12" s="4">
        <f>'Income Statement'!F16</f>
        <v>-75.260000000000005</v>
      </c>
      <c r="G12" s="4">
        <f>'Income Statement'!G16</f>
        <v>-72.53</v>
      </c>
      <c r="H12" s="4">
        <f>'Income Statement'!H16</f>
        <v>3.66</v>
      </c>
      <c r="I12" s="4">
        <f>'Income Statement'!I16</f>
        <v>-64.75</v>
      </c>
      <c r="J12" s="4">
        <f>J13*J20</f>
        <v>-44.268038045835006</v>
      </c>
      <c r="K12" s="4">
        <f t="shared" ref="K12:P12" si="2">K13*K20</f>
        <v>-49.517112835954997</v>
      </c>
      <c r="L12" s="4">
        <f t="shared" si="2"/>
        <v>-51.422415055891939</v>
      </c>
      <c r="M12" s="4">
        <f t="shared" si="2"/>
        <v>-58.679670078360928</v>
      </c>
      <c r="N12" s="4">
        <f t="shared" si="2"/>
        <v>-68.612388227451021</v>
      </c>
      <c r="O12" s="4">
        <f t="shared" si="2"/>
        <v>-75.873872603114933</v>
      </c>
      <c r="P12" s="4">
        <f t="shared" si="2"/>
        <v>-83.393003046429371</v>
      </c>
    </row>
    <row r="13" spans="1:16" x14ac:dyDescent="0.3">
      <c r="A13" s="4"/>
      <c r="B13" s="8" t="s">
        <v>182</v>
      </c>
      <c r="C13" s="9">
        <f>'Income Statement'!C17</f>
        <v>6561.46</v>
      </c>
      <c r="D13" s="9">
        <f>'Income Statement'!D17</f>
        <v>6927.4699999999993</v>
      </c>
      <c r="E13" s="9">
        <f>'Income Statement'!E17</f>
        <v>7626.1</v>
      </c>
      <c r="F13" s="9">
        <f>'Income Statement'!F17</f>
        <v>8760.2999999999993</v>
      </c>
      <c r="G13" s="9">
        <f>'Income Statement'!G17</f>
        <v>9591.3000000000011</v>
      </c>
      <c r="H13" s="9">
        <f>'Income Statement'!H17</f>
        <v>9492.0299999999988</v>
      </c>
      <c r="I13" s="9">
        <f>'Income Statement'!I17</f>
        <v>10604.050000000001</v>
      </c>
      <c r="J13" s="9">
        <f>J7*J15</f>
        <v>11242.781760709846</v>
      </c>
      <c r="K13" s="9">
        <f t="shared" ref="K13:P13" si="3">K7*K15</f>
        <v>12575.892621639798</v>
      </c>
      <c r="L13" s="9">
        <f t="shared" si="3"/>
        <v>13059.78343750943</v>
      </c>
      <c r="M13" s="9">
        <f t="shared" si="3"/>
        <v>14902.913108513923</v>
      </c>
      <c r="N13" s="9">
        <f t="shared" si="3"/>
        <v>17425.531850398023</v>
      </c>
      <c r="O13" s="9">
        <f t="shared" si="3"/>
        <v>19269.735652921747</v>
      </c>
      <c r="P13" s="9">
        <f t="shared" si="3"/>
        <v>21179.37399101492</v>
      </c>
    </row>
    <row r="14" spans="1:16" x14ac:dyDescent="0.3">
      <c r="A14" s="4"/>
    </row>
    <row r="15" spans="1:16" x14ac:dyDescent="0.3">
      <c r="A15" s="4"/>
      <c r="B15" s="8" t="s">
        <v>190</v>
      </c>
      <c r="C15" s="53">
        <f>C13/C7</f>
        <v>0.59354643784029748</v>
      </c>
      <c r="D15" s="53">
        <f t="shared" ref="D15:I15" si="4">D13/D7</f>
        <v>0.59721885762809768</v>
      </c>
      <c r="E15" s="53">
        <f t="shared" si="4"/>
        <v>0.58054344731405116</v>
      </c>
      <c r="F15" s="53">
        <f t="shared" si="4"/>
        <v>0.61970422162580474</v>
      </c>
      <c r="G15" s="53">
        <f t="shared" si="4"/>
        <v>0.58840345877899836</v>
      </c>
      <c r="H15" s="53">
        <f t="shared" si="4"/>
        <v>0.56603716202315302</v>
      </c>
      <c r="I15" s="53">
        <f t="shared" si="4"/>
        <v>0.59099621182354689</v>
      </c>
      <c r="J15" s="97">
        <f>AVERAGE(G15:I15)</f>
        <v>0.58181227754189946</v>
      </c>
      <c r="K15" s="97">
        <v>0.6</v>
      </c>
      <c r="L15" s="97">
        <v>0.56999999999999995</v>
      </c>
      <c r="M15" s="97">
        <v>0.59</v>
      </c>
      <c r="N15" s="97">
        <v>0.62</v>
      </c>
      <c r="O15" s="97">
        <v>0.61</v>
      </c>
      <c r="P15" s="97">
        <v>0.59</v>
      </c>
    </row>
    <row r="16" spans="1:16" x14ac:dyDescent="0.3">
      <c r="A16" s="4"/>
    </row>
    <row r="17" spans="1:28" x14ac:dyDescent="0.3">
      <c r="A17" s="4"/>
      <c r="B17" s="60" t="s">
        <v>191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28" x14ac:dyDescent="0.3">
      <c r="A18" s="4"/>
      <c r="B18" s="4" t="s">
        <v>187</v>
      </c>
      <c r="C18" s="54">
        <f>C10/C13</f>
        <v>0.84021086770322462</v>
      </c>
      <c r="D18" s="54">
        <f t="shared" ref="D18:I18" si="5">D10/D13</f>
        <v>0.85184923211504349</v>
      </c>
      <c r="E18" s="54">
        <f t="shared" si="5"/>
        <v>0.85264158613183672</v>
      </c>
      <c r="F18" s="54">
        <f t="shared" si="5"/>
        <v>0.85316370443934575</v>
      </c>
      <c r="G18" s="54">
        <f t="shared" si="5"/>
        <v>0.8681513454901838</v>
      </c>
      <c r="H18" s="54">
        <f t="shared" si="5"/>
        <v>0.90042804331634019</v>
      </c>
      <c r="I18" s="54">
        <f t="shared" si="5"/>
        <v>0.92978154573016913</v>
      </c>
      <c r="J18" s="54">
        <f>AVERAGE(C18:I18)</f>
        <v>0.87088947498944902</v>
      </c>
      <c r="K18" s="55">
        <v>0.87088947498944902</v>
      </c>
      <c r="L18" s="55">
        <v>0.87088947498944902</v>
      </c>
      <c r="M18" s="55">
        <v>0.87088947498944902</v>
      </c>
      <c r="N18" s="55">
        <v>0.87088947498944902</v>
      </c>
      <c r="O18" s="55">
        <v>0.87088947498944902</v>
      </c>
      <c r="P18" s="55">
        <v>0.87088947498944902</v>
      </c>
    </row>
    <row r="19" spans="1:28" x14ac:dyDescent="0.3">
      <c r="A19" s="4"/>
      <c r="B19" s="4" t="s">
        <v>188</v>
      </c>
      <c r="C19" s="54">
        <f>C11/C13</f>
        <v>0.16819884598854526</v>
      </c>
      <c r="D19" s="54">
        <f t="shared" ref="D19:I19" si="6">D11/D13</f>
        <v>0.14056213884722707</v>
      </c>
      <c r="E19" s="54">
        <f t="shared" si="6"/>
        <v>0.15222590839354322</v>
      </c>
      <c r="F19" s="54">
        <f t="shared" si="6"/>
        <v>0.15542732554821181</v>
      </c>
      <c r="G19" s="54">
        <f t="shared" si="6"/>
        <v>0.13941071596133997</v>
      </c>
      <c r="H19" s="54">
        <f t="shared" si="6"/>
        <v>9.9186370038864199E-2</v>
      </c>
      <c r="I19" s="54">
        <f t="shared" si="6"/>
        <v>7.6324611822841268E-2</v>
      </c>
      <c r="J19" s="54">
        <f>AVERAGE(C19:I19)</f>
        <v>0.1330479880857961</v>
      </c>
      <c r="K19" s="54">
        <v>0.1330479880857961</v>
      </c>
      <c r="L19" s="54">
        <v>0.1330479880857961</v>
      </c>
      <c r="M19" s="54">
        <v>0.1330479880857961</v>
      </c>
      <c r="N19" s="54">
        <v>0.1330479880857961</v>
      </c>
      <c r="O19" s="54">
        <v>0.1330479880857961</v>
      </c>
      <c r="P19" s="54">
        <v>0.1330479880857961</v>
      </c>
    </row>
    <row r="20" spans="1:28" ht="28.8" x14ac:dyDescent="0.3">
      <c r="A20" s="4"/>
      <c r="B20" s="51" t="s">
        <v>189</v>
      </c>
      <c r="C20" s="54">
        <f>C12/C13</f>
        <v>-8.4097136917698195E-3</v>
      </c>
      <c r="D20" s="54">
        <f t="shared" ref="D20:I20" si="7">D12/D13</f>
        <v>7.5886290377295039E-3</v>
      </c>
      <c r="E20" s="54">
        <f t="shared" si="7"/>
        <v>-4.8674945253799444E-3</v>
      </c>
      <c r="F20" s="54">
        <f t="shared" si="7"/>
        <v>-8.5910299875575045E-3</v>
      </c>
      <c r="G20" s="54">
        <f t="shared" si="7"/>
        <v>-7.562061451523776E-3</v>
      </c>
      <c r="H20" s="54">
        <f t="shared" si="7"/>
        <v>3.8558664479568656E-4</v>
      </c>
      <c r="I20" s="54">
        <f t="shared" si="7"/>
        <v>-6.1061575530104058E-3</v>
      </c>
      <c r="J20" s="4">
        <f>AVERAGE(C20:I20)</f>
        <v>-3.9374630752451794E-3</v>
      </c>
      <c r="K20" s="4">
        <v>-3.9374630752451794E-3</v>
      </c>
      <c r="L20" s="4">
        <v>-3.9374630752451794E-3</v>
      </c>
      <c r="M20" s="4">
        <v>-3.9374630752451794E-3</v>
      </c>
      <c r="N20" s="4">
        <v>-3.9374630752451794E-3</v>
      </c>
      <c r="O20" s="4">
        <v>-3.9374630752451794E-3</v>
      </c>
      <c r="P20" s="4">
        <v>-3.9374630752451794E-3</v>
      </c>
    </row>
    <row r="21" spans="1:28" x14ac:dyDescent="0.3">
      <c r="A21" s="4"/>
      <c r="B21" s="8" t="s">
        <v>182</v>
      </c>
      <c r="C21" s="50">
        <f>SUM(C18:C20)</f>
        <v>1</v>
      </c>
      <c r="D21" s="50">
        <f t="shared" ref="D21:P21" si="8">SUM(D18:D20)</f>
        <v>1.0000000000000002</v>
      </c>
      <c r="E21" s="50">
        <f t="shared" si="8"/>
        <v>1</v>
      </c>
      <c r="F21" s="50">
        <f t="shared" si="8"/>
        <v>1</v>
      </c>
      <c r="G21" s="50">
        <f t="shared" si="8"/>
        <v>0.99999999999999989</v>
      </c>
      <c r="H21" s="50">
        <f t="shared" si="8"/>
        <v>1</v>
      </c>
      <c r="I21" s="50">
        <f t="shared" si="8"/>
        <v>1</v>
      </c>
      <c r="J21" s="50">
        <f t="shared" si="8"/>
        <v>0.99999999999999989</v>
      </c>
      <c r="K21" s="50">
        <f t="shared" si="8"/>
        <v>0.99999999999999989</v>
      </c>
      <c r="L21" s="50">
        <f t="shared" si="8"/>
        <v>0.99999999999999989</v>
      </c>
      <c r="M21" s="50">
        <f t="shared" si="8"/>
        <v>0.99999999999999989</v>
      </c>
      <c r="N21" s="50">
        <f t="shared" si="8"/>
        <v>0.99999999999999989</v>
      </c>
      <c r="O21" s="50">
        <f t="shared" si="8"/>
        <v>0.99999999999999989</v>
      </c>
      <c r="P21" s="50">
        <f t="shared" si="8"/>
        <v>0.99999999999999989</v>
      </c>
    </row>
    <row r="22" spans="1:28" x14ac:dyDescent="0.3">
      <c r="A22" s="4"/>
      <c r="B22" s="8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 spans="1:28" s="8" customFormat="1" x14ac:dyDescent="0.3">
      <c r="H23" s="4"/>
      <c r="I23" s="4"/>
      <c r="J23" s="4"/>
    </row>
    <row r="24" spans="1:28" x14ac:dyDescent="0.3">
      <c r="A24" s="4"/>
      <c r="B24" s="60" t="s">
        <v>193</v>
      </c>
      <c r="C24" s="100">
        <f>'Income Statement'!C18</f>
        <v>441.82</v>
      </c>
      <c r="D24" s="100">
        <f>'Income Statement'!D18</f>
        <v>486.69</v>
      </c>
      <c r="E24" s="100">
        <f>'Income Statement'!E18</f>
        <v>527.38</v>
      </c>
      <c r="F24" s="100">
        <f>'Income Statement'!F18</f>
        <v>542.26</v>
      </c>
      <c r="G24" s="100">
        <f>'Income Statement'!G18</f>
        <v>658.38</v>
      </c>
      <c r="H24" s="100">
        <f>'Income Statement'!H18</f>
        <v>708.7</v>
      </c>
      <c r="I24" s="100">
        <f>'Income Statement'!I18</f>
        <v>704.59</v>
      </c>
      <c r="J24" s="100">
        <f>J7*$J25</f>
        <v>774.30342217906389</v>
      </c>
      <c r="K24" s="100">
        <f t="shared" ref="K24:P24" si="9">K7*$J25</f>
        <v>839.86184177978259</v>
      </c>
      <c r="L24" s="100">
        <f t="shared" si="9"/>
        <v>918.08184546075347</v>
      </c>
      <c r="M24" s="100">
        <f t="shared" si="9"/>
        <v>1012.1373173668369</v>
      </c>
      <c r="N24" s="100">
        <f t="shared" si="9"/>
        <v>1126.1976910016197</v>
      </c>
      <c r="O24" s="100">
        <f t="shared" si="9"/>
        <v>1265.8032365535873</v>
      </c>
      <c r="P24" s="100">
        <f t="shared" si="9"/>
        <v>1438.4056740241158</v>
      </c>
    </row>
    <row r="25" spans="1:28" ht="30.6" customHeight="1" x14ac:dyDescent="0.3">
      <c r="A25" s="4"/>
      <c r="B25" s="56" t="s">
        <v>194</v>
      </c>
      <c r="C25" s="75">
        <f>C24/C7</f>
        <v>3.9966819452774263E-2</v>
      </c>
      <c r="D25" s="75">
        <f t="shared" ref="D25:I25" si="10">D24/D7</f>
        <v>4.1957662150686879E-2</v>
      </c>
      <c r="E25" s="75">
        <f t="shared" si="10"/>
        <v>4.0147257870272388E-2</v>
      </c>
      <c r="F25" s="75">
        <f t="shared" si="10"/>
        <v>3.8359509516661408E-2</v>
      </c>
      <c r="G25" s="75">
        <f t="shared" si="10"/>
        <v>4.0390048188558056E-2</v>
      </c>
      <c r="H25" s="75">
        <f t="shared" si="10"/>
        <v>4.2261827736091079E-2</v>
      </c>
      <c r="I25" s="75">
        <f t="shared" si="10"/>
        <v>3.926896052817111E-2</v>
      </c>
      <c r="J25" s="97">
        <f>AVERAGE(F25:I25)</f>
        <v>4.0070086492370413E-2</v>
      </c>
      <c r="K25" s="97">
        <v>4.0336012206173603E-2</v>
      </c>
      <c r="L25" s="97">
        <v>4.0336012206173597E-2</v>
      </c>
      <c r="M25" s="97">
        <v>4.0336012206173597E-2</v>
      </c>
      <c r="N25" s="97">
        <v>4.0336012206173597E-2</v>
      </c>
      <c r="O25" s="97">
        <v>4.0336012206173597E-2</v>
      </c>
      <c r="P25" s="97">
        <v>4.0336012206173597E-2</v>
      </c>
    </row>
    <row r="26" spans="1:28" x14ac:dyDescent="0.3">
      <c r="A26" s="4"/>
      <c r="B26" s="56"/>
      <c r="C26" s="75"/>
      <c r="D26" s="75"/>
      <c r="E26" s="75"/>
      <c r="F26" s="75"/>
      <c r="G26" s="75"/>
      <c r="H26" s="75"/>
      <c r="I26" s="75"/>
      <c r="J26" s="46"/>
      <c r="K26" s="46"/>
      <c r="L26" s="46"/>
      <c r="M26" s="46"/>
      <c r="N26" s="46"/>
      <c r="O26" s="46"/>
      <c r="P26" s="46"/>
    </row>
    <row r="27" spans="1:28" x14ac:dyDescent="0.3">
      <c r="A27" s="4"/>
      <c r="B27"/>
    </row>
    <row r="28" spans="1:28" x14ac:dyDescent="0.3">
      <c r="A28" s="4"/>
      <c r="B28" s="60" t="s">
        <v>195</v>
      </c>
      <c r="C28" s="100">
        <f>'Income Statement'!C21</f>
        <v>2317.9699999999998</v>
      </c>
      <c r="D28" s="100">
        <f>'Income Statement'!D21</f>
        <v>2342.21</v>
      </c>
      <c r="E28" s="100">
        <f>'Income Statement'!E21</f>
        <v>2473.37</v>
      </c>
      <c r="F28" s="100">
        <f>'Income Statement'!F21</f>
        <v>2632.19</v>
      </c>
      <c r="G28" s="100">
        <f>'Income Statement'!G21</f>
        <v>3219.96</v>
      </c>
      <c r="H28" s="100">
        <f>'Income Statement'!H21</f>
        <v>3398.7</v>
      </c>
      <c r="I28" s="100">
        <f>'Income Statement'!I21</f>
        <v>3446.88</v>
      </c>
      <c r="J28" s="100">
        <f t="shared" ref="J28:P28" si="11">J7*$J29</f>
        <v>3760.965819493139</v>
      </c>
      <c r="K28" s="100">
        <f t="shared" si="11"/>
        <v>4079.3978039526792</v>
      </c>
      <c r="L28" s="100">
        <f t="shared" si="11"/>
        <v>4459.3299491792395</v>
      </c>
      <c r="M28" s="100">
        <f t="shared" si="11"/>
        <v>4916.1785240952258</v>
      </c>
      <c r="N28" s="100">
        <f t="shared" si="11"/>
        <v>5470.19540470231</v>
      </c>
      <c r="O28" s="100">
        <f t="shared" si="11"/>
        <v>6148.2909290059852</v>
      </c>
      <c r="P28" s="100">
        <f t="shared" si="11"/>
        <v>6986.6597765321912</v>
      </c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ht="13.8" customHeight="1" x14ac:dyDescent="0.3">
      <c r="A29" s="4"/>
      <c r="B29" s="56" t="s">
        <v>196</v>
      </c>
      <c r="C29" s="46">
        <f>C28/C7</f>
        <v>0.20968242380821861</v>
      </c>
      <c r="D29" s="46">
        <f t="shared" ref="D29:I29" si="12">D28/D7</f>
        <v>0.20192248837239377</v>
      </c>
      <c r="E29" s="46">
        <f t="shared" si="12"/>
        <v>0.18828742690013958</v>
      </c>
      <c r="F29" s="46">
        <f t="shared" si="12"/>
        <v>0.18620130076837862</v>
      </c>
      <c r="G29" s="46">
        <f t="shared" si="12"/>
        <v>0.19753689292692578</v>
      </c>
      <c r="H29" s="46">
        <f t="shared" si="12"/>
        <v>0.20267429649591184</v>
      </c>
      <c r="I29" s="46">
        <f t="shared" si="12"/>
        <v>0.19210518835825435</v>
      </c>
      <c r="J29" s="97">
        <f>AVERAGE(F29:I29)</f>
        <v>0.19462941963736763</v>
      </c>
      <c r="K29" s="97">
        <v>0.19462941963736763</v>
      </c>
      <c r="L29" s="97">
        <v>0.19462941963736763</v>
      </c>
      <c r="M29" s="97">
        <v>0.19462941963736763</v>
      </c>
      <c r="N29" s="97">
        <v>0.19462941963736763</v>
      </c>
      <c r="O29" s="97">
        <v>0.19462941963736763</v>
      </c>
      <c r="P29" s="97">
        <v>0.19462941963736763</v>
      </c>
    </row>
    <row r="30" spans="1:28" x14ac:dyDescent="0.3">
      <c r="A30" s="4"/>
      <c r="B30" s="5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28" x14ac:dyDescent="0.3">
      <c r="A31" s="4"/>
      <c r="B31"/>
    </row>
    <row r="32" spans="1:28" x14ac:dyDescent="0.3">
      <c r="A32" s="4"/>
      <c r="B32" s="60" t="s">
        <v>197</v>
      </c>
      <c r="C32" s="100">
        <f>'Income Statement'!C31</f>
        <v>612.47</v>
      </c>
      <c r="D32" s="100">
        <f>'Income Statement'!D31</f>
        <v>450.7</v>
      </c>
      <c r="E32" s="100">
        <f>'Income Statement'!E31</f>
        <v>663.02</v>
      </c>
      <c r="F32" s="100">
        <f>'Income Statement'!F31</f>
        <v>562.35</v>
      </c>
      <c r="G32" s="100">
        <f>'Income Statement'!G31</f>
        <v>716.45</v>
      </c>
      <c r="H32" s="100">
        <f>'Income Statement'!H31</f>
        <v>779.25</v>
      </c>
      <c r="I32" s="100">
        <f>'Income Statement'!I31</f>
        <v>748.70999999999992</v>
      </c>
      <c r="J32" s="100">
        <f ca="1">$J33*'Income Statement'!J27</f>
        <v>1009.4684228896173</v>
      </c>
      <c r="K32" s="100">
        <f ca="1">$J33*'Income Statement'!K27</f>
        <v>1062.0624191634379</v>
      </c>
      <c r="L32" s="100">
        <f ca="1">$J33*'Income Statement'!L27</f>
        <v>1430.4215389786548</v>
      </c>
      <c r="M32" s="100">
        <f ca="1">$J33*'Income Statement'!M27</f>
        <v>1578.2048572283575</v>
      </c>
      <c r="N32" s="100">
        <f ca="1">$J33*'Income Statement'!N27</f>
        <v>1691.0222738523489</v>
      </c>
      <c r="O32" s="100">
        <f ca="1">$J33*'Income Statement'!O27</f>
        <v>2182.4103520661542</v>
      </c>
      <c r="P32" s="100">
        <f ca="1">$J33*'Income Statement'!P27</f>
        <v>2970.9343016209227</v>
      </c>
    </row>
    <row r="33" spans="1:16" ht="18" customHeight="1" x14ac:dyDescent="0.3">
      <c r="A33" s="4"/>
      <c r="B33" t="s">
        <v>198</v>
      </c>
      <c r="C33" s="53">
        <f>C32/'Income Statement'!C27</f>
        <v>0.34643339951242424</v>
      </c>
      <c r="D33" s="53">
        <f>D32/'Income Statement'!D27</f>
        <v>0.24437455945345105</v>
      </c>
      <c r="E33" s="53">
        <f>E32/'Income Statement'!E27</f>
        <v>0.26377202509538078</v>
      </c>
      <c r="F33" s="53">
        <f>F32/'Income Statement'!F27</f>
        <v>0.27057781969177197</v>
      </c>
      <c r="G33" s="53">
        <f>G32/'Income Statement'!G27</f>
        <v>0.23623618012575978</v>
      </c>
      <c r="H33" s="53">
        <f>H32/'Income Statement'!H27</f>
        <v>0.26746456973986338</v>
      </c>
      <c r="I33" s="53">
        <f>I32/'Income Statement'!I27</f>
        <v>0.25583191244357706</v>
      </c>
      <c r="J33" s="97">
        <f>AVERAGE(F33:I33)</f>
        <v>0.25752762050024303</v>
      </c>
      <c r="K33" s="97">
        <v>0.25752762050024303</v>
      </c>
      <c r="L33" s="97">
        <v>0.25752762050024303</v>
      </c>
      <c r="M33" s="97">
        <v>0.25752762050024303</v>
      </c>
      <c r="N33" s="97">
        <v>0.25752762050024303</v>
      </c>
      <c r="O33" s="97">
        <v>0.25752762050024303</v>
      </c>
      <c r="P33" s="97">
        <v>0.25752762050024303</v>
      </c>
    </row>
    <row r="34" spans="1:16" x14ac:dyDescent="0.3">
      <c r="A34" s="4"/>
      <c r="B34"/>
    </row>
    <row r="35" spans="1:16" x14ac:dyDescent="0.3">
      <c r="A35" s="4"/>
      <c r="B35" s="57" t="s">
        <v>199</v>
      </c>
    </row>
    <row r="36" spans="1:16" x14ac:dyDescent="0.3">
      <c r="A36" s="4"/>
      <c r="B36" t="s">
        <v>200</v>
      </c>
      <c r="C36" s="4">
        <f>'Income Statement'!C29</f>
        <v>599.78</v>
      </c>
      <c r="D36" s="4">
        <f>'Income Statement'!D29</f>
        <v>447.69</v>
      </c>
      <c r="E36" s="4">
        <f>'Income Statement'!E29</f>
        <v>657.12</v>
      </c>
      <c r="F36" s="4">
        <f>'Income Statement'!F29</f>
        <v>612.24</v>
      </c>
      <c r="G36" s="4">
        <f>'Income Statement'!G29</f>
        <v>720.97</v>
      </c>
      <c r="H36" s="4">
        <f>'Income Statement'!H29</f>
        <v>765.69</v>
      </c>
      <c r="I36" s="4">
        <f>'Income Statement'!I29</f>
        <v>741.68</v>
      </c>
      <c r="J36" s="4">
        <f ca="1">J38*$J41</f>
        <v>1026.6887036003475</v>
      </c>
      <c r="K36" s="4">
        <f ca="1">K38*$J41</f>
        <v>1080.1798882943294</v>
      </c>
      <c r="L36" s="4">
        <f ca="1">L38*$J41</f>
        <v>1454.8227583505081</v>
      </c>
      <c r="M36" s="4">
        <f ca="1">M38*$J41</f>
        <v>1605.1270769276291</v>
      </c>
      <c r="N36" s="4">
        <f t="shared" ref="N36:P36" ca="1" si="13">N38*$J41</f>
        <v>1719.8690189149445</v>
      </c>
      <c r="O36" s="4">
        <f t="shared" ca="1" si="13"/>
        <v>2219.6395689851011</v>
      </c>
      <c r="P36" s="4">
        <f t="shared" ca="1" si="13"/>
        <v>3021.6147602534006</v>
      </c>
    </row>
    <row r="37" spans="1:16" x14ac:dyDescent="0.3">
      <c r="A37" s="4"/>
      <c r="B37" t="s">
        <v>201</v>
      </c>
      <c r="C37" s="4">
        <f>'Income Statement'!C30</f>
        <v>12.69</v>
      </c>
      <c r="D37" s="4">
        <f>'Income Statement'!D30</f>
        <v>3.01</v>
      </c>
      <c r="E37" s="4">
        <f>'Income Statement'!E30</f>
        <v>5.9</v>
      </c>
      <c r="F37" s="4">
        <f>'Income Statement'!F30</f>
        <v>-49.89</v>
      </c>
      <c r="G37" s="4">
        <f>'Income Statement'!G30</f>
        <v>-4.5199999999999996</v>
      </c>
      <c r="H37" s="4">
        <f>'Income Statement'!H30</f>
        <v>13.56</v>
      </c>
      <c r="I37" s="4">
        <f>'Income Statement'!I30</f>
        <v>7.03</v>
      </c>
      <c r="J37" s="4">
        <f ca="1">J38*$J42</f>
        <v>-17.220280710730925</v>
      </c>
      <c r="K37" s="4">
        <f ca="1">K38*$J42</f>
        <v>-18.117469130891521</v>
      </c>
      <c r="L37" s="4">
        <f t="shared" ref="L37:P37" ca="1" si="14">L38*$J42</f>
        <v>-24.40121937185317</v>
      </c>
      <c r="M37" s="4">
        <f ca="1">M38*$J42</f>
        <v>-26.922219699271476</v>
      </c>
      <c r="N37" s="4">
        <f t="shared" ca="1" si="14"/>
        <v>-28.846745062594373</v>
      </c>
      <c r="O37" s="4">
        <f t="shared" ca="1" si="14"/>
        <v>-37.229216918946442</v>
      </c>
      <c r="P37" s="4">
        <f t="shared" ca="1" si="14"/>
        <v>-50.680458632479571</v>
      </c>
    </row>
    <row r="38" spans="1:16" x14ac:dyDescent="0.3">
      <c r="A38" s="4"/>
      <c r="B38" s="57" t="s">
        <v>182</v>
      </c>
      <c r="C38" s="9">
        <f>'Income Statement'!C31</f>
        <v>612.47</v>
      </c>
      <c r="D38" s="9">
        <f>'Income Statement'!D31</f>
        <v>450.7</v>
      </c>
      <c r="E38" s="9">
        <f>'Income Statement'!E31</f>
        <v>663.02</v>
      </c>
      <c r="F38" s="9">
        <f>'Income Statement'!F31</f>
        <v>562.35</v>
      </c>
      <c r="G38" s="9">
        <f>'Income Statement'!G31</f>
        <v>716.45</v>
      </c>
      <c r="H38" s="9">
        <f>'Income Statement'!H31</f>
        <v>779.25</v>
      </c>
      <c r="I38" s="9">
        <f>'Income Statement'!I31</f>
        <v>748.70999999999992</v>
      </c>
      <c r="J38" s="9">
        <f ca="1">J32</f>
        <v>1009.4684228896173</v>
      </c>
      <c r="K38" s="9">
        <f ca="1">K32</f>
        <v>1062.0624191634379</v>
      </c>
      <c r="L38" s="9">
        <f t="shared" ref="L38:P38" ca="1" si="15">L32</f>
        <v>1430.4215389786548</v>
      </c>
      <c r="M38" s="9">
        <f ca="1">M32</f>
        <v>1578.2048572283575</v>
      </c>
      <c r="N38" s="9">
        <f t="shared" ca="1" si="15"/>
        <v>1691.0222738523489</v>
      </c>
      <c r="O38" s="9">
        <f t="shared" ca="1" si="15"/>
        <v>2182.4103520661542</v>
      </c>
      <c r="P38" s="9">
        <f t="shared" ca="1" si="15"/>
        <v>2970.9343016209227</v>
      </c>
    </row>
    <row r="39" spans="1:16" x14ac:dyDescent="0.3">
      <c r="A39" s="4"/>
      <c r="B39"/>
    </row>
    <row r="40" spans="1:16" x14ac:dyDescent="0.3">
      <c r="A40" s="4"/>
      <c r="B40" s="57" t="s">
        <v>202</v>
      </c>
    </row>
    <row r="41" spans="1:16" x14ac:dyDescent="0.3">
      <c r="A41" s="4"/>
      <c r="B41" t="s">
        <v>200</v>
      </c>
      <c r="C41" s="46">
        <f>C36/C38</f>
        <v>0.97928061782617914</v>
      </c>
      <c r="D41" s="46">
        <f t="shared" ref="D41:I41" si="16">D36/D38</f>
        <v>0.99332149988906149</v>
      </c>
      <c r="E41" s="46">
        <f t="shared" si="16"/>
        <v>0.99110132424361264</v>
      </c>
      <c r="F41" s="46">
        <f t="shared" si="16"/>
        <v>1.0887169911976526</v>
      </c>
      <c r="G41" s="46">
        <f t="shared" si="16"/>
        <v>1.0063088840812338</v>
      </c>
      <c r="H41" s="46">
        <f t="shared" si="16"/>
        <v>0.98259865255052947</v>
      </c>
      <c r="I41" s="46">
        <f t="shared" si="16"/>
        <v>0.99061051675548617</v>
      </c>
      <c r="J41" s="59">
        <f>AVERAGE(F41:I41)</f>
        <v>1.0170587611462256</v>
      </c>
      <c r="K41" s="46">
        <v>1.0170587611462256</v>
      </c>
      <c r="L41" s="46">
        <v>1.0170587611462256</v>
      </c>
      <c r="M41" s="46">
        <v>1.0170587611462256</v>
      </c>
      <c r="N41" s="46">
        <v>1.0170587611462256</v>
      </c>
      <c r="O41" s="46">
        <v>1.0170587611462256</v>
      </c>
      <c r="P41" s="46">
        <v>1.0170587611462256</v>
      </c>
    </row>
    <row r="42" spans="1:16" x14ac:dyDescent="0.3">
      <c r="A42" s="4"/>
      <c r="B42" t="s">
        <v>201</v>
      </c>
      <c r="C42" s="46">
        <f>C37/C38</f>
        <v>2.0719382173820758E-2</v>
      </c>
      <c r="D42" s="46">
        <f t="shared" ref="D42:I42" si="17">D37/D38</f>
        <v>6.67850011093854E-3</v>
      </c>
      <c r="E42" s="46">
        <f t="shared" si="17"/>
        <v>8.8986757563874405E-3</v>
      </c>
      <c r="F42" s="46">
        <f t="shared" si="17"/>
        <v>-8.8716991197652709E-2</v>
      </c>
      <c r="G42" s="46">
        <f t="shared" si="17"/>
        <v>-6.3088840812338606E-3</v>
      </c>
      <c r="H42" s="46">
        <f t="shared" si="17"/>
        <v>1.7401347449470646E-2</v>
      </c>
      <c r="I42" s="46">
        <f t="shared" si="17"/>
        <v>9.3894832445138993E-3</v>
      </c>
      <c r="J42" s="46">
        <f>AVERAGE(F42:I42)</f>
        <v>-1.7058761146225506E-2</v>
      </c>
      <c r="K42" s="46">
        <v>-1.7058761146225506E-2</v>
      </c>
      <c r="L42" s="46">
        <v>-1.7058761146225506E-2</v>
      </c>
      <c r="M42" s="46">
        <v>-1.7058761146225506E-2</v>
      </c>
      <c r="N42" s="46">
        <v>-1.7058761146225506E-2</v>
      </c>
      <c r="O42" s="46">
        <v>-1.7058761146225506E-2</v>
      </c>
      <c r="P42" s="46">
        <v>-1.7058761146225506E-2</v>
      </c>
    </row>
    <row r="43" spans="1:16" x14ac:dyDescent="0.3">
      <c r="A43" s="4"/>
      <c r="B43" t="s">
        <v>182</v>
      </c>
      <c r="C43" s="58">
        <f>SUM(C41:C42)</f>
        <v>0.99999999999999989</v>
      </c>
      <c r="D43" s="58">
        <f t="shared" ref="D43:I43" si="18">SUM(D41:D42)</f>
        <v>1</v>
      </c>
      <c r="E43" s="58">
        <f t="shared" si="18"/>
        <v>1</v>
      </c>
      <c r="F43" s="58">
        <f t="shared" si="18"/>
        <v>0.99999999999999989</v>
      </c>
      <c r="G43" s="58">
        <f t="shared" si="18"/>
        <v>0.99999999999999989</v>
      </c>
      <c r="H43" s="58">
        <f t="shared" si="18"/>
        <v>1.0000000000000002</v>
      </c>
      <c r="I43" s="58">
        <f t="shared" si="18"/>
        <v>1</v>
      </c>
      <c r="J43" s="58">
        <f>AVERAGE(C43:I43)</f>
        <v>1</v>
      </c>
      <c r="K43" s="58">
        <v>1</v>
      </c>
      <c r="L43" s="58">
        <v>1</v>
      </c>
      <c r="M43" s="58">
        <v>1</v>
      </c>
      <c r="N43" s="58">
        <v>1</v>
      </c>
      <c r="O43" s="58">
        <v>1</v>
      </c>
      <c r="P43" s="58">
        <v>1</v>
      </c>
    </row>
    <row r="44" spans="1:16" x14ac:dyDescent="0.3">
      <c r="A44" s="4"/>
    </row>
    <row r="45" spans="1:16" x14ac:dyDescent="0.3">
      <c r="A45" s="4"/>
    </row>
    <row r="46" spans="1:16" x14ac:dyDescent="0.3">
      <c r="A46" s="4"/>
    </row>
    <row r="47" spans="1:16" x14ac:dyDescent="0.3">
      <c r="A47" s="4"/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4510-7563-41E4-8892-3DCF902D363C}">
  <sheetPr>
    <pageSetUpPr fitToPage="1"/>
  </sheetPr>
  <dimension ref="A1:R269"/>
  <sheetViews>
    <sheetView showGridLines="0" topLeftCell="A31" zoomScale="75" zoomScaleNormal="99" workbookViewId="0">
      <selection activeCell="R39" sqref="R39"/>
    </sheetView>
  </sheetViews>
  <sheetFormatPr defaultRowHeight="14.4" x14ac:dyDescent="0.3"/>
  <cols>
    <col min="1" max="1" width="3.88671875" style="3" customWidth="1"/>
    <col min="2" max="2" width="42" style="4" customWidth="1"/>
    <col min="3" max="9" width="10.5546875" style="4" bestFit="1" customWidth="1"/>
    <col min="10" max="10" width="11.6640625" style="4" bestFit="1" customWidth="1"/>
    <col min="11" max="11" width="11" style="4" customWidth="1"/>
    <col min="12" max="12" width="11.33203125" style="4" customWidth="1"/>
    <col min="13" max="16" width="11.6640625" style="4" bestFit="1" customWidth="1"/>
    <col min="17" max="16384" width="8.88671875" style="4"/>
  </cols>
  <sheetData>
    <row r="1" spans="1:18" ht="30" customHeight="1" x14ac:dyDescent="0.7">
      <c r="B1" s="177" t="s">
        <v>60</v>
      </c>
      <c r="C1" s="177"/>
      <c r="D1" s="177"/>
    </row>
    <row r="2" spans="1:18" ht="21" customHeight="1" x14ac:dyDescent="0.5">
      <c r="B2" s="178" t="s">
        <v>213</v>
      </c>
      <c r="C2" s="178"/>
      <c r="D2" s="178"/>
    </row>
    <row r="3" spans="1:18" x14ac:dyDescent="0.3">
      <c r="B3" s="63"/>
    </row>
    <row r="4" spans="1:18" ht="15.6" x14ac:dyDescent="0.3">
      <c r="B4" s="5" t="s">
        <v>1</v>
      </c>
      <c r="C4" s="38">
        <v>2019</v>
      </c>
      <c r="D4" s="38">
        <v>2020</v>
      </c>
      <c r="E4" s="38">
        <v>2021</v>
      </c>
      <c r="F4" s="38">
        <v>2022</v>
      </c>
      <c r="G4" s="38">
        <v>2023</v>
      </c>
      <c r="H4" s="38">
        <v>2024</v>
      </c>
      <c r="I4" s="38">
        <v>2025</v>
      </c>
      <c r="J4" s="38">
        <v>2026</v>
      </c>
      <c r="K4" s="38">
        <v>2027</v>
      </c>
      <c r="L4" s="38">
        <v>2028</v>
      </c>
      <c r="M4" s="38">
        <v>2029</v>
      </c>
      <c r="N4" s="38">
        <v>2030</v>
      </c>
      <c r="O4" s="38">
        <v>2031</v>
      </c>
      <c r="P4" s="38">
        <v>2032</v>
      </c>
    </row>
    <row r="5" spans="1:18" ht="15.6" x14ac:dyDescent="0.3">
      <c r="B5" s="45"/>
      <c r="C5" s="6" t="s">
        <v>121</v>
      </c>
      <c r="D5" s="6" t="s">
        <v>121</v>
      </c>
      <c r="E5" s="6" t="s">
        <v>121</v>
      </c>
      <c r="F5" s="6" t="s">
        <v>121</v>
      </c>
      <c r="G5" s="6" t="s">
        <v>121</v>
      </c>
      <c r="H5" s="6" t="s">
        <v>121</v>
      </c>
      <c r="I5" s="6" t="s">
        <v>121</v>
      </c>
      <c r="J5" s="6" t="s">
        <v>122</v>
      </c>
      <c r="K5" s="6" t="s">
        <v>122</v>
      </c>
      <c r="L5" s="6" t="s">
        <v>122</v>
      </c>
      <c r="M5" s="6" t="s">
        <v>122</v>
      </c>
      <c r="N5" s="6" t="s">
        <v>122</v>
      </c>
      <c r="O5" s="6" t="s">
        <v>122</v>
      </c>
      <c r="P5" s="6" t="s">
        <v>122</v>
      </c>
    </row>
    <row r="6" spans="1:18" x14ac:dyDescent="0.3">
      <c r="A6" s="4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8" x14ac:dyDescent="0.3">
      <c r="A7" s="4"/>
      <c r="B7" s="57" t="s">
        <v>203</v>
      </c>
      <c r="C7"/>
      <c r="D7">
        <f>C12</f>
        <v>1659.17</v>
      </c>
      <c r="E7">
        <f t="shared" ref="E7:I7" si="0">D12</f>
        <v>1778.7599999999998</v>
      </c>
      <c r="F7">
        <f t="shared" si="0"/>
        <v>1773.57</v>
      </c>
      <c r="G7">
        <f t="shared" si="0"/>
        <v>2149.2799999999997</v>
      </c>
      <c r="H7">
        <f t="shared" si="0"/>
        <v>2632.06</v>
      </c>
      <c r="I7">
        <f t="shared" si="0"/>
        <v>2828.86</v>
      </c>
      <c r="J7" s="68">
        <f t="shared" ref="J7:P7" si="1">I12</f>
        <v>2860.2200000000003</v>
      </c>
      <c r="K7" s="68">
        <f t="shared" si="1"/>
        <v>2742.8209031390138</v>
      </c>
      <c r="L7" s="68">
        <f t="shared" si="1"/>
        <v>2668.7200984985202</v>
      </c>
      <c r="M7" s="68">
        <f t="shared" si="1"/>
        <v>2644.1043719313816</v>
      </c>
      <c r="N7" s="68">
        <f t="shared" si="1"/>
        <v>2679.2172530141943</v>
      </c>
      <c r="O7" s="68">
        <f t="shared" si="1"/>
        <v>2782.1454087528409</v>
      </c>
      <c r="P7" s="68">
        <f t="shared" si="1"/>
        <v>2954.3620267697161</v>
      </c>
    </row>
    <row r="8" spans="1:18" x14ac:dyDescent="0.3">
      <c r="A8" s="4"/>
      <c r="B8" t="s">
        <v>204</v>
      </c>
      <c r="C8">
        <f t="shared" ref="C8:I8" si="2">C16</f>
        <v>401.21</v>
      </c>
      <c r="D8">
        <f t="shared" si="2"/>
        <v>244.17</v>
      </c>
      <c r="E8">
        <f t="shared" si="2"/>
        <v>242.07</v>
      </c>
      <c r="F8">
        <f t="shared" si="2"/>
        <v>550.17999999999995</v>
      </c>
      <c r="G8">
        <f t="shared" si="2"/>
        <v>711.46</v>
      </c>
      <c r="H8">
        <f t="shared" si="2"/>
        <v>552.87</v>
      </c>
      <c r="I8">
        <f t="shared" si="2"/>
        <v>374.85</v>
      </c>
      <c r="J8" s="68">
        <f>J16</f>
        <v>195.42541617219771</v>
      </c>
      <c r="K8" s="68">
        <f t="shared" ref="K8:P8" si="3">K16</f>
        <v>229.78572346600191</v>
      </c>
      <c r="L8" s="68">
        <f t="shared" si="3"/>
        <v>275.87597775325054</v>
      </c>
      <c r="M8" s="68">
        <f t="shared" si="3"/>
        <v>338.86670391190023</v>
      </c>
      <c r="N8" s="68">
        <f t="shared" si="3"/>
        <v>417.54530032842956</v>
      </c>
      <c r="O8" s="68">
        <f t="shared" si="3"/>
        <v>505.54574744201068</v>
      </c>
      <c r="P8" s="68">
        <f t="shared" si="3"/>
        <v>616.84704641885537</v>
      </c>
    </row>
    <row r="9" spans="1:18" x14ac:dyDescent="0.3">
      <c r="A9" s="4"/>
      <c r="B9" t="s">
        <v>205</v>
      </c>
      <c r="C9" s="2">
        <f t="shared" ref="C9:H9" si="4">C22</f>
        <v>-1.82</v>
      </c>
      <c r="D9" s="2">
        <f t="shared" si="4"/>
        <v>-0.73</v>
      </c>
      <c r="E9" s="2">
        <f t="shared" si="4"/>
        <v>-2.17</v>
      </c>
      <c r="F9" s="2">
        <f t="shared" si="4"/>
        <v>-3.16</v>
      </c>
      <c r="G9" s="2">
        <f t="shared" si="4"/>
        <v>-78.430000000000007</v>
      </c>
      <c r="H9" s="2">
        <f t="shared" si="4"/>
        <v>-64.52</v>
      </c>
      <c r="I9" s="2">
        <f>I22</f>
        <v>-4.58</v>
      </c>
      <c r="J9" s="2">
        <f>J22</f>
        <v>-31.493445263243245</v>
      </c>
      <c r="K9" s="2">
        <f t="shared" ref="K9:P9" si="5">K22</f>
        <v>-30.200781751014929</v>
      </c>
      <c r="L9" s="2">
        <f t="shared" si="5"/>
        <v>-29.384869116704401</v>
      </c>
      <c r="M9" s="2">
        <f t="shared" si="5"/>
        <v>-29.113829113747585</v>
      </c>
      <c r="N9" s="2">
        <f t="shared" si="5"/>
        <v>-29.500451680688705</v>
      </c>
      <c r="O9" s="2">
        <f t="shared" si="5"/>
        <v>-30.633777871961279</v>
      </c>
      <c r="P9" s="2">
        <f t="shared" si="5"/>
        <v>-32.530028731313124</v>
      </c>
    </row>
    <row r="10" spans="1:18" x14ac:dyDescent="0.3">
      <c r="A10" s="4"/>
      <c r="B10" t="s">
        <v>206</v>
      </c>
      <c r="C10" s="4">
        <f t="shared" ref="C10:I10" si="6">C27</f>
        <v>-161.88</v>
      </c>
      <c r="D10" s="4">
        <f t="shared" si="6"/>
        <v>-184.81</v>
      </c>
      <c r="E10" s="4">
        <f t="shared" si="6"/>
        <v>-197.85</v>
      </c>
      <c r="F10" s="4">
        <f t="shared" si="6"/>
        <v>-200.54</v>
      </c>
      <c r="G10" s="4">
        <f t="shared" si="6"/>
        <v>-225.91</v>
      </c>
      <c r="H10" s="4">
        <f t="shared" si="6"/>
        <v>-300.45999999999998</v>
      </c>
      <c r="I10" s="4">
        <f t="shared" si="6"/>
        <v>-313.33999999999997</v>
      </c>
      <c r="J10" s="4">
        <f>J27</f>
        <v>-281.33106776994117</v>
      </c>
      <c r="K10" s="4">
        <f t="shared" ref="K10:P10" si="7">K27</f>
        <v>-273.68574635548083</v>
      </c>
      <c r="L10" s="4">
        <f t="shared" si="7"/>
        <v>-271.1068352036844</v>
      </c>
      <c r="M10" s="4">
        <f t="shared" si="7"/>
        <v>-274.63999371534027</v>
      </c>
      <c r="N10" s="4">
        <f t="shared" si="7"/>
        <v>-285.11669290909418</v>
      </c>
      <c r="O10" s="4">
        <f t="shared" si="7"/>
        <v>-302.69535155317465</v>
      </c>
      <c r="P10" s="4">
        <f t="shared" si="7"/>
        <v>-328.7986415152904</v>
      </c>
    </row>
    <row r="11" spans="1:18" x14ac:dyDescent="0.3">
      <c r="A11" s="4"/>
      <c r="B11" t="s">
        <v>207</v>
      </c>
      <c r="C11"/>
      <c r="D11" s="2">
        <f>D12-SUM(D7:D10)</f>
        <v>60.959999999999582</v>
      </c>
      <c r="E11" s="2">
        <f t="shared" ref="E11:I11" si="8">E12-SUM(E7:E10)</f>
        <v>-47.239999999999782</v>
      </c>
      <c r="F11" s="2">
        <f t="shared" si="8"/>
        <v>29.229999999999563</v>
      </c>
      <c r="G11" s="2">
        <f t="shared" si="8"/>
        <v>75.659999999999854</v>
      </c>
      <c r="H11" s="2">
        <f t="shared" si="8"/>
        <v>8.9100000000003092</v>
      </c>
      <c r="I11" s="2">
        <f t="shared" si="8"/>
        <v>-25.569999999999709</v>
      </c>
      <c r="J11"/>
      <c r="K11"/>
      <c r="L11"/>
      <c r="M11"/>
      <c r="N11"/>
      <c r="O11"/>
      <c r="P11"/>
    </row>
    <row r="12" spans="1:18" x14ac:dyDescent="0.3">
      <c r="A12" s="4"/>
      <c r="B12" s="57" t="s">
        <v>208</v>
      </c>
      <c r="C12" s="72">
        <f>SUM('Balance Sheet'!C8:C12)-'Balance Sheet'!C11</f>
        <v>1659.17</v>
      </c>
      <c r="D12" s="72">
        <f>SUM('Balance Sheet'!D8:D12)-'Balance Sheet'!D11</f>
        <v>1778.7599999999998</v>
      </c>
      <c r="E12" s="72">
        <f>SUM('Balance Sheet'!E8:E12)-'Balance Sheet'!E11</f>
        <v>1773.57</v>
      </c>
      <c r="F12" s="72">
        <f>SUM('Balance Sheet'!F8:F12)-'Balance Sheet'!F11</f>
        <v>2149.2799999999997</v>
      </c>
      <c r="G12" s="72">
        <f>SUM('Balance Sheet'!G8:G12)-'Balance Sheet'!G11</f>
        <v>2632.06</v>
      </c>
      <c r="H12" s="72">
        <f>SUM('Balance Sheet'!H8:H12)-'Balance Sheet'!H11</f>
        <v>2828.86</v>
      </c>
      <c r="I12" s="72">
        <f>SUM('Balance Sheet'!I8:I12)-'Balance Sheet'!I11</f>
        <v>2860.2200000000003</v>
      </c>
      <c r="J12" s="98">
        <f>SUM(J7:J10)</f>
        <v>2742.8209031390138</v>
      </c>
      <c r="K12" s="98">
        <f t="shared" ref="K12:P12" si="9">SUM(K7:K10)</f>
        <v>2668.7200984985202</v>
      </c>
      <c r="L12" s="98">
        <f t="shared" si="9"/>
        <v>2644.1043719313816</v>
      </c>
      <c r="M12" s="98">
        <f t="shared" si="9"/>
        <v>2679.2172530141943</v>
      </c>
      <c r="N12" s="98">
        <f t="shared" si="9"/>
        <v>2782.1454087528409</v>
      </c>
      <c r="O12" s="98">
        <f t="shared" si="9"/>
        <v>2954.3620267697161</v>
      </c>
      <c r="P12" s="98">
        <f t="shared" si="9"/>
        <v>3209.880402941968</v>
      </c>
      <c r="Q12"/>
      <c r="R12"/>
    </row>
    <row r="13" spans="1:18" x14ac:dyDescent="0.3">
      <c r="A13" s="4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ht="14.4" customHeight="1" x14ac:dyDescent="0.3">
      <c r="A14" s="4"/>
      <c r="B14" s="64" t="s">
        <v>209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</row>
    <row r="15" spans="1:18" ht="15.6" customHeight="1" x14ac:dyDescent="0.3">
      <c r="A15" s="4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ht="15" thickBot="1" x14ac:dyDescent="0.35">
      <c r="A16" s="4"/>
      <c r="B16" s="99" t="s">
        <v>210</v>
      </c>
      <c r="C16" s="57">
        <f>-CFS!C28</f>
        <v>401.21</v>
      </c>
      <c r="D16" s="57">
        <f>-CFS!D28</f>
        <v>244.17</v>
      </c>
      <c r="E16" s="57">
        <f>-CFS!E28</f>
        <v>242.07</v>
      </c>
      <c r="F16" s="57">
        <f>-CFS!F28</f>
        <v>550.17999999999995</v>
      </c>
      <c r="G16" s="57">
        <f>-CFS!G28</f>
        <v>711.46</v>
      </c>
      <c r="H16" s="57">
        <f>-CFS!H28</f>
        <v>552.87</v>
      </c>
      <c r="I16" s="57">
        <f>-CFS!I28</f>
        <v>374.85</v>
      </c>
      <c r="J16" s="73">
        <f>('Income Statement'!J10-'Income Statement'!I10)/J17</f>
        <v>195.42541617219771</v>
      </c>
      <c r="K16" s="73">
        <f>('Income Statement'!K10-'Income Statement'!J10)/K17</f>
        <v>229.78572346600191</v>
      </c>
      <c r="L16" s="73">
        <f>('Income Statement'!L10-'Income Statement'!K10)/L17</f>
        <v>275.87597775325054</v>
      </c>
      <c r="M16" s="73">
        <f>('Income Statement'!M10-'Income Statement'!L10)/M17</f>
        <v>338.86670391190023</v>
      </c>
      <c r="N16" s="73">
        <f>('Income Statement'!N10-'Income Statement'!M10)/N17</f>
        <v>417.54530032842956</v>
      </c>
      <c r="O16" s="73">
        <f>('Income Statement'!O10-'Income Statement'!N10)/O17</f>
        <v>505.54574744201068</v>
      </c>
      <c r="P16" s="73">
        <f>('Income Statement'!P10-'Income Statement'!O10)/P17</f>
        <v>616.84704641885537</v>
      </c>
    </row>
    <row r="17" spans="1:16" ht="15" thickBot="1" x14ac:dyDescent="0.35">
      <c r="A17" s="4"/>
      <c r="B17" t="s">
        <v>219</v>
      </c>
      <c r="D17" s="4">
        <f>'Income Statement'!D10/D18</f>
        <v>6.7479849793334941</v>
      </c>
      <c r="E17" s="4">
        <f>'Income Statement'!E10/E7</f>
        <v>7.3849985383075865</v>
      </c>
      <c r="F17" s="4">
        <f>'Income Statement'!F10/F7</f>
        <v>7.9705114542983928</v>
      </c>
      <c r="G17" s="4">
        <f>'Income Statement'!G10/G7</f>
        <v>7.5841909848879627</v>
      </c>
      <c r="H17" s="4">
        <f>'Income Statement'!H10/H7</f>
        <v>6.3711579523263149</v>
      </c>
      <c r="I17" s="4">
        <f>'Income Statement'!I10/I7</f>
        <v>6.3427210961305969</v>
      </c>
      <c r="J17" s="71">
        <f>AVERAGE(D17:I17)</f>
        <v>7.0669275008807242</v>
      </c>
      <c r="K17" s="71">
        <f t="shared" ref="K17:O17" si="10">AVERAGE(E17:J17)</f>
        <v>7.1200845878052625</v>
      </c>
      <c r="L17" s="71">
        <f t="shared" si="10"/>
        <v>7.0759322627215413</v>
      </c>
      <c r="M17" s="71">
        <f t="shared" si="10"/>
        <v>6.9268357307920674</v>
      </c>
      <c r="N17" s="71">
        <f t="shared" si="10"/>
        <v>6.8172765217760842</v>
      </c>
      <c r="O17" s="71">
        <f t="shared" si="10"/>
        <v>6.89162961668438</v>
      </c>
      <c r="P17" s="71">
        <f t="shared" ref="P17" si="11">AVERAGE(J17:O17)</f>
        <v>6.9831143701100089</v>
      </c>
    </row>
    <row r="18" spans="1:16" x14ac:dyDescent="0.3">
      <c r="A18" s="4"/>
      <c r="B18" t="s">
        <v>227</v>
      </c>
      <c r="C18">
        <f>AVERAGE(C7,C12)</f>
        <v>1659.17</v>
      </c>
      <c r="D18">
        <f t="shared" ref="D18:H18" si="12">AVERAGE(D7,D12)</f>
        <v>1718.9649999999999</v>
      </c>
      <c r="E18">
        <f t="shared" si="12"/>
        <v>1776.165</v>
      </c>
      <c r="F18">
        <f t="shared" si="12"/>
        <v>1961.4249999999997</v>
      </c>
      <c r="G18">
        <f t="shared" si="12"/>
        <v>2390.67</v>
      </c>
      <c r="H18">
        <f t="shared" si="12"/>
        <v>2730.46</v>
      </c>
      <c r="I18">
        <f>AVERAGE(I7,I12)</f>
        <v>2844.54</v>
      </c>
      <c r="J18" s="68">
        <f>AVERAGE(J7,J12)</f>
        <v>2801.5204515695068</v>
      </c>
      <c r="K18" s="68">
        <f t="shared" ref="K18:P18" si="13">AVERAGE(K7,K12)</f>
        <v>2705.7705008187668</v>
      </c>
      <c r="L18" s="68">
        <f t="shared" si="13"/>
        <v>2656.4122352149507</v>
      </c>
      <c r="M18" s="68">
        <f t="shared" si="13"/>
        <v>2661.6608124727882</v>
      </c>
      <c r="N18" s="68">
        <f t="shared" si="13"/>
        <v>2730.6813308835176</v>
      </c>
      <c r="O18" s="68">
        <f t="shared" si="13"/>
        <v>2868.2537177612785</v>
      </c>
      <c r="P18" s="68">
        <f t="shared" si="13"/>
        <v>3082.121214855842</v>
      </c>
    </row>
    <row r="19" spans="1:16" x14ac:dyDescent="0.3">
      <c r="A19" s="4"/>
      <c r="B19"/>
      <c r="C19"/>
      <c r="D19"/>
      <c r="E19"/>
      <c r="F19"/>
      <c r="G19"/>
      <c r="H19"/>
      <c r="I19"/>
      <c r="J19" s="68"/>
      <c r="K19" s="68"/>
      <c r="L19" s="68"/>
      <c r="M19" s="68"/>
      <c r="N19" s="68"/>
      <c r="O19" s="68"/>
      <c r="P19" s="68"/>
    </row>
    <row r="20" spans="1:16" ht="15.6" x14ac:dyDescent="0.3">
      <c r="A20" s="4"/>
      <c r="B20" s="64" t="s">
        <v>205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</row>
    <row r="21" spans="1:16" ht="14.4" customHeight="1" x14ac:dyDescent="0.3">
      <c r="A21" s="4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ht="14.4" customHeight="1" thickBot="1" x14ac:dyDescent="0.35">
      <c r="A22" s="4"/>
      <c r="B22" s="99" t="s">
        <v>211</v>
      </c>
      <c r="C22" s="21">
        <f>-(CFS!C30)</f>
        <v>-1.82</v>
      </c>
      <c r="D22" s="21">
        <f>-(CFS!D30)</f>
        <v>-0.73</v>
      </c>
      <c r="E22" s="21">
        <f>-(CFS!E30)</f>
        <v>-2.17</v>
      </c>
      <c r="F22" s="21">
        <f>-(CFS!F30)</f>
        <v>-3.16</v>
      </c>
      <c r="G22" s="21">
        <f>-(CFS!G30)</f>
        <v>-78.430000000000007</v>
      </c>
      <c r="H22" s="21">
        <f>-(CFS!H30)</f>
        <v>-64.52</v>
      </c>
      <c r="I22" s="21">
        <f>-(CFS!I30)</f>
        <v>-4.58</v>
      </c>
      <c r="J22" s="21">
        <f>J7*$J23</f>
        <v>-31.493445263243245</v>
      </c>
      <c r="K22" s="21">
        <f t="shared" ref="K22:P22" si="14">K7*$J23</f>
        <v>-30.200781751014929</v>
      </c>
      <c r="L22" s="21">
        <f t="shared" si="14"/>
        <v>-29.384869116704401</v>
      </c>
      <c r="M22" s="21">
        <f t="shared" si="14"/>
        <v>-29.113829113747585</v>
      </c>
      <c r="N22" s="21">
        <f t="shared" si="14"/>
        <v>-29.500451680688705</v>
      </c>
      <c r="O22" s="21">
        <f t="shared" si="14"/>
        <v>-30.633777871961279</v>
      </c>
      <c r="P22" s="21">
        <f t="shared" si="14"/>
        <v>-32.530028731313124</v>
      </c>
    </row>
    <row r="23" spans="1:16" s="8" customFormat="1" ht="15" thickBot="1" x14ac:dyDescent="0.35">
      <c r="B23"/>
      <c r="C23"/>
      <c r="D23" s="66">
        <f>D22/D7</f>
        <v>-4.3997902565740698E-4</v>
      </c>
      <c r="E23" s="66">
        <f t="shared" ref="E23:I23" si="15">E22/E7</f>
        <v>-1.2199509770851606E-3</v>
      </c>
      <c r="F23" s="66">
        <f t="shared" si="15"/>
        <v>-1.7817171016650034E-3</v>
      </c>
      <c r="G23" s="66">
        <f t="shared" si="15"/>
        <v>-3.6491290106454265E-2</v>
      </c>
      <c r="H23" s="66">
        <f t="shared" si="15"/>
        <v>-2.451311900184646E-2</v>
      </c>
      <c r="I23" s="66">
        <f t="shared" si="15"/>
        <v>-1.619026745756241E-3</v>
      </c>
      <c r="J23" s="69">
        <f>AVERAGE(D23:I23)</f>
        <v>-1.101084715974409E-2</v>
      </c>
      <c r="K23" s="69">
        <f t="shared" ref="K23:P23" si="16">AVERAGE(E23:J23)</f>
        <v>-1.2772658515425203E-2</v>
      </c>
      <c r="L23" s="69">
        <f t="shared" si="16"/>
        <v>-1.4698109771815212E-2</v>
      </c>
      <c r="M23" s="69">
        <f t="shared" si="16"/>
        <v>-1.6850841883506915E-2</v>
      </c>
      <c r="N23" s="69">
        <f t="shared" si="16"/>
        <v>-1.357743384634902E-2</v>
      </c>
      <c r="O23" s="69">
        <f t="shared" si="16"/>
        <v>-1.1754819653766112E-2</v>
      </c>
      <c r="P23" s="69">
        <f t="shared" si="16"/>
        <v>-1.3444118471767756E-2</v>
      </c>
    </row>
    <row r="24" spans="1:16" x14ac:dyDescent="0.3">
      <c r="A24" s="4"/>
      <c r="G24" s="67"/>
      <c r="J24"/>
      <c r="K24"/>
      <c r="L24"/>
      <c r="M24"/>
      <c r="N24"/>
      <c r="O24"/>
      <c r="P24"/>
    </row>
    <row r="25" spans="1:16" ht="15.6" x14ac:dyDescent="0.3">
      <c r="A25" s="4"/>
      <c r="B25" s="64" t="s">
        <v>206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</row>
    <row r="26" spans="1:16" x14ac:dyDescent="0.3">
      <c r="A26" s="4"/>
    </row>
    <row r="27" spans="1:16" ht="14.4" customHeight="1" thickBot="1" x14ac:dyDescent="0.35">
      <c r="A27" s="4"/>
      <c r="B27" s="99" t="s">
        <v>212</v>
      </c>
      <c r="C27" s="8">
        <f>-CFS!C9</f>
        <v>-161.88</v>
      </c>
      <c r="D27" s="8">
        <f>-CFS!D9</f>
        <v>-184.81</v>
      </c>
      <c r="E27" s="8">
        <f>-CFS!E9</f>
        <v>-197.85</v>
      </c>
      <c r="F27" s="8">
        <f>-CFS!F9</f>
        <v>-200.54</v>
      </c>
      <c r="G27" s="8">
        <f>-CFS!G9</f>
        <v>-225.91</v>
      </c>
      <c r="H27" s="8">
        <f>-CFS!H9</f>
        <v>-300.45999999999998</v>
      </c>
      <c r="I27" s="8">
        <f>-CFS!I9</f>
        <v>-313.33999999999997</v>
      </c>
      <c r="J27" s="8">
        <f t="shared" ref="J27:P27" si="17">$J28*AVERAGE(J7:J8)</f>
        <v>-281.33106776994117</v>
      </c>
      <c r="K27" s="8">
        <f t="shared" si="17"/>
        <v>-273.68574635548083</v>
      </c>
      <c r="L27" s="8">
        <f t="shared" si="17"/>
        <v>-271.1068352036844</v>
      </c>
      <c r="M27" s="8">
        <f t="shared" si="17"/>
        <v>-274.63999371534027</v>
      </c>
      <c r="N27" s="8">
        <f t="shared" si="17"/>
        <v>-285.11669290909418</v>
      </c>
      <c r="O27" s="8">
        <f t="shared" si="17"/>
        <v>-302.69535155317465</v>
      </c>
      <c r="P27" s="8">
        <f t="shared" si="17"/>
        <v>-328.7986415152904</v>
      </c>
    </row>
    <row r="28" spans="1:16" ht="15" thickBot="1" x14ac:dyDescent="0.35">
      <c r="A28" s="4"/>
      <c r="D28" s="46">
        <f>D27/AVERAGE(D7:D8)</f>
        <v>-0.19419546691605283</v>
      </c>
      <c r="E28" s="46">
        <f t="shared" ref="E28:I28" si="18">E27/AVERAGE(E7:E8)</f>
        <v>-0.19581063226496045</v>
      </c>
      <c r="F28" s="46">
        <f t="shared" si="18"/>
        <v>-0.17260032275416889</v>
      </c>
      <c r="G28" s="46">
        <f t="shared" si="18"/>
        <v>-0.15793815586177004</v>
      </c>
      <c r="H28" s="46">
        <f>H27/AVERAGE(H7:H8)</f>
        <v>-0.18867604625533371</v>
      </c>
      <c r="I28" s="46">
        <f t="shared" si="18"/>
        <v>-0.19561071382865489</v>
      </c>
      <c r="J28" s="70">
        <f>AVERAGE(D28:I28)</f>
        <v>-0.18413855631349016</v>
      </c>
      <c r="K28" s="70">
        <f t="shared" ref="K28:P28" si="19">AVERAGE(E28:J28)</f>
        <v>-0.18246240454639637</v>
      </c>
      <c r="L28" s="70">
        <f t="shared" si="19"/>
        <v>-0.18023769992663566</v>
      </c>
      <c r="M28" s="70">
        <f t="shared" si="19"/>
        <v>-0.18151059612204681</v>
      </c>
      <c r="N28" s="70">
        <f t="shared" si="19"/>
        <v>-0.18543933616542627</v>
      </c>
      <c r="O28" s="70">
        <f t="shared" si="19"/>
        <v>-0.18489988448377501</v>
      </c>
      <c r="P28" s="70">
        <f t="shared" si="19"/>
        <v>-0.1831147462596284</v>
      </c>
    </row>
    <row r="29" spans="1:16" x14ac:dyDescent="0.3">
      <c r="A29" s="4"/>
    </row>
    <row r="30" spans="1:16" x14ac:dyDescent="0.3">
      <c r="A30" s="4"/>
      <c r="B30" s="8" t="s">
        <v>214</v>
      </c>
    </row>
    <row r="31" spans="1:16" x14ac:dyDescent="0.3">
      <c r="A31" s="4"/>
      <c r="B31" s="4" t="s">
        <v>215</v>
      </c>
      <c r="C31" s="46">
        <f>'Balance Sheet'!C8/C36</f>
        <v>0.92551094824520685</v>
      </c>
      <c r="D31" s="46">
        <f>'Balance Sheet'!D8/D36</f>
        <v>0.96492500393532576</v>
      </c>
      <c r="E31" s="46">
        <f>'Balance Sheet'!E8/E36</f>
        <v>0.92147476558579589</v>
      </c>
      <c r="F31" s="46">
        <f>'Balance Sheet'!F8/F36</f>
        <v>0.73701425593687198</v>
      </c>
      <c r="G31" s="46">
        <f>'Balance Sheet'!G8/G36</f>
        <v>0.93926050318001875</v>
      </c>
      <c r="H31" s="46">
        <f>'Balance Sheet'!H8/H36</f>
        <v>0.92013744052374458</v>
      </c>
      <c r="I31" s="46">
        <f>'Balance Sheet'!I8/I36</f>
        <v>0.95608379774982344</v>
      </c>
      <c r="J31" s="46">
        <f>AVERAGE(C31:I31)</f>
        <v>0.90920095930811251</v>
      </c>
      <c r="K31" s="46">
        <f>AVERAGE(C31:J31)</f>
        <v>0.90920095930811251</v>
      </c>
      <c r="L31" s="55">
        <v>0.90920095930811251</v>
      </c>
      <c r="M31" s="55">
        <v>0.90920095930811251</v>
      </c>
      <c r="N31" s="55">
        <v>0.90920095930811251</v>
      </c>
      <c r="O31" s="55">
        <v>0.90920095930811251</v>
      </c>
      <c r="P31" s="55">
        <v>0.90920095930811251</v>
      </c>
    </row>
    <row r="32" spans="1:16" x14ac:dyDescent="0.3">
      <c r="A32" s="4"/>
      <c r="B32" s="4" t="s">
        <v>216</v>
      </c>
      <c r="C32" s="46">
        <f>'Balance Sheet'!C9/C36</f>
        <v>6.1018461037747787E-2</v>
      </c>
      <c r="D32" s="46">
        <f>'Balance Sheet'!D9/D36</f>
        <v>2.2234590388810184E-2</v>
      </c>
      <c r="E32" s="46">
        <f>'Balance Sheet'!E9/E36</f>
        <v>6.569799895126778E-2</v>
      </c>
      <c r="F32" s="46">
        <f>'Balance Sheet'!F9/F36</f>
        <v>0.24923695377056504</v>
      </c>
      <c r="G32" s="46">
        <f>'Balance Sheet'!G9/G36</f>
        <v>3.9892707613048334E-2</v>
      </c>
      <c r="H32" s="46">
        <f>'Balance Sheet'!H9/H36</f>
        <v>6.6295256746533929E-2</v>
      </c>
      <c r="I32" s="46">
        <f>'Balance Sheet'!I9/I36</f>
        <v>3.1186412234023953E-2</v>
      </c>
      <c r="J32" s="46">
        <f>AVERAGE(C32:I32)</f>
        <v>7.6508911534570997E-2</v>
      </c>
      <c r="K32" s="46">
        <f>AVERAGE(C32:J32)</f>
        <v>7.6508911534570997E-2</v>
      </c>
      <c r="L32" s="55">
        <v>7.6508911534570997E-2</v>
      </c>
      <c r="M32" s="55">
        <v>7.6508911534570997E-2</v>
      </c>
      <c r="N32" s="55">
        <v>7.6508911534570997E-2</v>
      </c>
      <c r="O32" s="55">
        <v>7.6508911534570997E-2</v>
      </c>
      <c r="P32" s="55">
        <v>7.6508911534570997E-2</v>
      </c>
    </row>
    <row r="33" spans="1:16" x14ac:dyDescent="0.3">
      <c r="A33" s="4"/>
      <c r="B33" s="4" t="s">
        <v>217</v>
      </c>
      <c r="C33" s="46">
        <f>'Balance Sheet'!C10/C36</f>
        <v>8.8779329423748013E-3</v>
      </c>
      <c r="D33" s="46">
        <f>'Balance Sheet'!D10/D36</f>
        <v>8.134880478535611E-3</v>
      </c>
      <c r="E33" s="46">
        <f>'Balance Sheet'!E10/E36</f>
        <v>8.0120886122340817E-3</v>
      </c>
      <c r="F33" s="46">
        <f>'Balance Sheet'!F10/F36</f>
        <v>6.4905456711084643E-3</v>
      </c>
      <c r="G33" s="46">
        <f>'Balance Sheet'!G10/G36</f>
        <v>1.5436578193506228E-2</v>
      </c>
      <c r="H33" s="46">
        <f>'Balance Sheet'!H10/H36</f>
        <v>9.7141604745374453E-3</v>
      </c>
      <c r="I33" s="46">
        <f>'Balance Sheet'!I10/I36</f>
        <v>1.0104117865059329E-2</v>
      </c>
      <c r="J33" s="46">
        <f>AVERAGE(C33:I33)</f>
        <v>9.5386148910508537E-3</v>
      </c>
      <c r="K33" s="46">
        <f>AVERAGE(C33:J33)</f>
        <v>9.5386148910508537E-3</v>
      </c>
      <c r="L33" s="55">
        <v>9.5386148910508537E-3</v>
      </c>
      <c r="M33" s="55">
        <v>9.5386148910508537E-3</v>
      </c>
      <c r="N33" s="55">
        <v>9.5386148910508537E-3</v>
      </c>
      <c r="O33" s="55">
        <v>9.5386148910508537E-3</v>
      </c>
      <c r="P33" s="55">
        <v>9.5386148910508537E-3</v>
      </c>
    </row>
    <row r="34" spans="1:16" x14ac:dyDescent="0.3">
      <c r="A34" s="4"/>
      <c r="B34" s="4" t="s">
        <v>218</v>
      </c>
      <c r="C34" s="46">
        <f>'Balance Sheet'!C12/C36</f>
        <v>4.5926577746704675E-3</v>
      </c>
      <c r="D34" s="46">
        <f>'Balance Sheet'!D12/D36</f>
        <v>4.7055251973284759E-3</v>
      </c>
      <c r="E34" s="46">
        <f>'Balance Sheet'!E12/E36</f>
        <v>4.8151468507022554E-3</v>
      </c>
      <c r="F34" s="46">
        <f>'Balance Sheet'!F12/F36</f>
        <v>7.258244621454627E-3</v>
      </c>
      <c r="G34" s="46">
        <f>'Balance Sheet'!G12/G36</f>
        <v>5.4102110134267457E-3</v>
      </c>
      <c r="H34" s="46">
        <f>'Balance Sheet'!H12/H36</f>
        <v>3.853142255184067E-3</v>
      </c>
      <c r="I34" s="46">
        <f>'Balance Sheet'!I12/I36</f>
        <v>2.6256721510932723E-3</v>
      </c>
      <c r="J34" s="46">
        <f>AVERAGE(C34:I34)</f>
        <v>4.7515142662657014E-3</v>
      </c>
      <c r="K34" s="46">
        <f>AVERAGE(C34:J34)</f>
        <v>4.7515142662657014E-3</v>
      </c>
      <c r="L34" s="46">
        <v>4.7515142662657014E-3</v>
      </c>
      <c r="M34" s="46">
        <v>4.7515142662657014E-3</v>
      </c>
      <c r="N34" s="46">
        <v>4.7515142662657014E-3</v>
      </c>
      <c r="O34" s="46">
        <v>4.7515142662657014E-3</v>
      </c>
      <c r="P34" s="46">
        <v>4.7515142662657014E-3</v>
      </c>
    </row>
    <row r="35" spans="1:16" x14ac:dyDescent="0.3">
      <c r="A35" s="4"/>
    </row>
    <row r="36" spans="1:16" x14ac:dyDescent="0.3">
      <c r="A36" s="4"/>
      <c r="B36" s="8" t="s">
        <v>182</v>
      </c>
      <c r="C36" s="9">
        <f>C12</f>
        <v>1659.17</v>
      </c>
      <c r="D36" s="9">
        <f t="shared" ref="D36:P36" si="20">D12</f>
        <v>1778.7599999999998</v>
      </c>
      <c r="E36" s="9">
        <f t="shared" si="20"/>
        <v>1773.57</v>
      </c>
      <c r="F36" s="9">
        <f t="shared" si="20"/>
        <v>2149.2799999999997</v>
      </c>
      <c r="G36" s="9">
        <f t="shared" si="20"/>
        <v>2632.06</v>
      </c>
      <c r="H36" s="9">
        <f t="shared" si="20"/>
        <v>2828.86</v>
      </c>
      <c r="I36" s="9">
        <f t="shared" si="20"/>
        <v>2860.2200000000003</v>
      </c>
      <c r="J36" s="9">
        <f t="shared" si="20"/>
        <v>2742.8209031390138</v>
      </c>
      <c r="K36" s="9">
        <f>K12</f>
        <v>2668.7200984985202</v>
      </c>
      <c r="L36" s="9">
        <f t="shared" si="20"/>
        <v>2644.1043719313816</v>
      </c>
      <c r="M36" s="9">
        <f t="shared" si="20"/>
        <v>2679.2172530141943</v>
      </c>
      <c r="N36" s="9">
        <f t="shared" si="20"/>
        <v>2782.1454087528409</v>
      </c>
      <c r="O36" s="9">
        <f t="shared" si="20"/>
        <v>2954.3620267697161</v>
      </c>
      <c r="P36" s="9">
        <f t="shared" si="20"/>
        <v>3209.880402941968</v>
      </c>
    </row>
    <row r="37" spans="1:16" x14ac:dyDescent="0.3">
      <c r="A37" s="4"/>
    </row>
    <row r="38" spans="1:16" x14ac:dyDescent="0.3">
      <c r="A38" s="4"/>
    </row>
    <row r="39" spans="1:16" x14ac:dyDescent="0.3">
      <c r="A39" s="4"/>
      <c r="B39" s="8" t="s">
        <v>214</v>
      </c>
      <c r="J39" s="8"/>
      <c r="K39" s="8"/>
      <c r="L39" s="8"/>
      <c r="M39" s="8"/>
      <c r="N39" s="8"/>
      <c r="O39" s="8"/>
      <c r="P39" s="8"/>
    </row>
    <row r="40" spans="1:16" x14ac:dyDescent="0.3">
      <c r="A40" s="4"/>
      <c r="B40" s="4" t="s">
        <v>215</v>
      </c>
      <c r="C40" s="4">
        <f>'Balance Sheet'!C8</f>
        <v>1535.58</v>
      </c>
      <c r="D40" s="4">
        <f>'Balance Sheet'!D8</f>
        <v>1716.37</v>
      </c>
      <c r="E40" s="4">
        <f>'Balance Sheet'!E8</f>
        <v>1634.3</v>
      </c>
      <c r="F40" s="4">
        <f>'Balance Sheet'!F8</f>
        <v>1584.05</v>
      </c>
      <c r="G40" s="4">
        <f>'Balance Sheet'!G8</f>
        <v>2472.19</v>
      </c>
      <c r="H40" s="4">
        <f>'Balance Sheet'!H8</f>
        <v>2602.94</v>
      </c>
      <c r="I40" s="4">
        <f>'Balance Sheet'!I8</f>
        <v>2734.61</v>
      </c>
      <c r="J40" s="8">
        <f>J45*J31</f>
        <v>2493.7753963443347</v>
      </c>
      <c r="K40" s="8">
        <f t="shared" ref="K40:P40" si="21">K45*K31</f>
        <v>2426.4028736796949</v>
      </c>
      <c r="L40" s="8">
        <f t="shared" si="21"/>
        <v>2404.0222314707867</v>
      </c>
      <c r="M40" s="8">
        <f t="shared" si="21"/>
        <v>2435.9468966353515</v>
      </c>
      <c r="N40" s="8">
        <f t="shared" si="21"/>
        <v>2529.5292745727438</v>
      </c>
      <c r="O40" s="8">
        <f t="shared" si="21"/>
        <v>2686.1087888824854</v>
      </c>
      <c r="P40" s="8">
        <f t="shared" si="21"/>
        <v>2918.4263416191479</v>
      </c>
    </row>
    <row r="41" spans="1:16" x14ac:dyDescent="0.3">
      <c r="A41" s="4"/>
      <c r="B41" s="4" t="s">
        <v>216</v>
      </c>
      <c r="C41" s="4">
        <f>'Balance Sheet'!C9</f>
        <v>101.24</v>
      </c>
      <c r="D41" s="4">
        <f>'Balance Sheet'!D9</f>
        <v>39.549999999999997</v>
      </c>
      <c r="E41" s="4">
        <f>'Balance Sheet'!E9</f>
        <v>116.52</v>
      </c>
      <c r="F41" s="4">
        <f>'Balance Sheet'!F9</f>
        <v>535.67999999999995</v>
      </c>
      <c r="G41" s="4">
        <f>'Balance Sheet'!G9</f>
        <v>105</v>
      </c>
      <c r="H41" s="4">
        <f>'Balance Sheet'!H9</f>
        <v>187.54</v>
      </c>
      <c r="I41" s="4">
        <f>'Balance Sheet'!I9</f>
        <v>89.2</v>
      </c>
      <c r="J41" s="8">
        <f>J32*J45</f>
        <v>209.85024183343492</v>
      </c>
      <c r="K41" s="8">
        <f t="shared" ref="K41:P41" si="22">K32*K45</f>
        <v>204.18086992655489</v>
      </c>
      <c r="L41" s="8">
        <f t="shared" si="22"/>
        <v>202.29754748027048</v>
      </c>
      <c r="M41" s="8">
        <f t="shared" si="22"/>
        <v>204.98399579275932</v>
      </c>
      <c r="N41" s="8">
        <f t="shared" si="22"/>
        <v>212.85891695458398</v>
      </c>
      <c r="O41" s="8">
        <f t="shared" si="22"/>
        <v>226.03502294722009</v>
      </c>
      <c r="P41" s="8">
        <f t="shared" si="22"/>
        <v>245.58445578524012</v>
      </c>
    </row>
    <row r="42" spans="1:16" x14ac:dyDescent="0.3">
      <c r="A42" s="4"/>
      <c r="B42" s="4" t="s">
        <v>217</v>
      </c>
      <c r="C42" s="4">
        <f>'Balance Sheet'!C10</f>
        <v>14.73</v>
      </c>
      <c r="D42" s="4">
        <f>'Balance Sheet'!D10</f>
        <v>14.47</v>
      </c>
      <c r="E42" s="4">
        <f>'Balance Sheet'!E10</f>
        <v>14.21</v>
      </c>
      <c r="F42" s="4">
        <f>'Balance Sheet'!F10</f>
        <v>13.95</v>
      </c>
      <c r="G42" s="4">
        <f>'Balance Sheet'!G10</f>
        <v>40.630000000000003</v>
      </c>
      <c r="H42" s="4">
        <f>'Balance Sheet'!H10</f>
        <v>27.48</v>
      </c>
      <c r="I42" s="4">
        <f>'Balance Sheet'!I10</f>
        <v>28.9</v>
      </c>
      <c r="J42" s="8">
        <f>J45*J33</f>
        <v>26.162712310167347</v>
      </c>
      <c r="K42" s="8">
        <f t="shared" ref="K42:P42" si="23">K45*K33</f>
        <v>25.455893271584685</v>
      </c>
      <c r="L42" s="8">
        <f t="shared" si="23"/>
        <v>25.221093335597342</v>
      </c>
      <c r="M42" s="8">
        <f t="shared" si="23"/>
        <v>25.556021585961556</v>
      </c>
      <c r="N42" s="8">
        <f t="shared" si="23"/>
        <v>26.537813624998613</v>
      </c>
      <c r="O42" s="8">
        <f t="shared" si="23"/>
        <v>28.180521622100795</v>
      </c>
      <c r="P42" s="8">
        <f t="shared" si="23"/>
        <v>30.61781300999457</v>
      </c>
    </row>
    <row r="43" spans="1:16" x14ac:dyDescent="0.3">
      <c r="A43" s="4"/>
      <c r="B43" s="4" t="s">
        <v>218</v>
      </c>
      <c r="C43" s="4">
        <f>'Balance Sheet'!C12</f>
        <v>7.62</v>
      </c>
      <c r="D43" s="4">
        <f>'Balance Sheet'!D12</f>
        <v>8.3699999999999992</v>
      </c>
      <c r="E43" s="4">
        <f>'Balance Sheet'!E12</f>
        <v>8.5399999999999991</v>
      </c>
      <c r="F43" s="4">
        <f>'Balance Sheet'!F12</f>
        <v>15.6</v>
      </c>
      <c r="G43" s="4">
        <f>'Balance Sheet'!G12</f>
        <v>14.24</v>
      </c>
      <c r="H43" s="4">
        <f>'Balance Sheet'!H12</f>
        <v>10.9</v>
      </c>
      <c r="I43" s="4">
        <f>'Balance Sheet'!I12</f>
        <v>7.51</v>
      </c>
      <c r="J43" s="8">
        <f>J34*J45</f>
        <v>13.0325526510768</v>
      </c>
      <c r="K43" s="8">
        <f t="shared" ref="K43:P43" si="24">K34*K45</f>
        <v>12.680461620685726</v>
      </c>
      <c r="L43" s="8">
        <f t="shared" si="24"/>
        <v>12.563499644727472</v>
      </c>
      <c r="M43" s="8">
        <f t="shared" si="24"/>
        <v>12.730339000122147</v>
      </c>
      <c r="N43" s="8">
        <f t="shared" si="24"/>
        <v>13.219403600514745</v>
      </c>
      <c r="O43" s="8">
        <f t="shared" si="24"/>
        <v>14.037693317909959</v>
      </c>
      <c r="P43" s="8">
        <f t="shared" si="24"/>
        <v>15.25179252758546</v>
      </c>
    </row>
    <row r="44" spans="1:16" x14ac:dyDescent="0.3">
      <c r="A44" s="4"/>
    </row>
    <row r="45" spans="1:16" x14ac:dyDescent="0.3">
      <c r="A45" s="4"/>
      <c r="B45" s="8" t="s">
        <v>182</v>
      </c>
      <c r="C45" s="9">
        <f>C36</f>
        <v>1659.17</v>
      </c>
      <c r="D45" s="9">
        <f t="shared" ref="D45:P45" si="25">D36</f>
        <v>1778.7599999999998</v>
      </c>
      <c r="E45" s="9">
        <f t="shared" si="25"/>
        <v>1773.57</v>
      </c>
      <c r="F45" s="9">
        <f t="shared" si="25"/>
        <v>2149.2799999999997</v>
      </c>
      <c r="G45" s="9">
        <f t="shared" si="25"/>
        <v>2632.06</v>
      </c>
      <c r="H45" s="9">
        <f t="shared" si="25"/>
        <v>2828.86</v>
      </c>
      <c r="I45" s="9">
        <f t="shared" si="25"/>
        <v>2860.2200000000003</v>
      </c>
      <c r="J45" s="9">
        <f t="shared" si="25"/>
        <v>2742.8209031390138</v>
      </c>
      <c r="K45" s="9">
        <f t="shared" si="25"/>
        <v>2668.7200984985202</v>
      </c>
      <c r="L45" s="9">
        <f t="shared" si="25"/>
        <v>2644.1043719313816</v>
      </c>
      <c r="M45" s="9">
        <f t="shared" si="25"/>
        <v>2679.2172530141943</v>
      </c>
      <c r="N45" s="9">
        <f t="shared" si="25"/>
        <v>2782.1454087528409</v>
      </c>
      <c r="O45" s="9">
        <f t="shared" si="25"/>
        <v>2954.3620267697161</v>
      </c>
      <c r="P45" s="9">
        <f t="shared" si="25"/>
        <v>3209.880402941968</v>
      </c>
    </row>
    <row r="46" spans="1:16" x14ac:dyDescent="0.3">
      <c r="A46" s="4"/>
    </row>
    <row r="47" spans="1:16" x14ac:dyDescent="0.3">
      <c r="A47" s="4"/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</sheetData>
  <mergeCells count="2">
    <mergeCell ref="B1:D1"/>
    <mergeCell ref="B2:D2"/>
  </mergeCells>
  <pageMargins left="0.7" right="0.7" top="0.75" bottom="0.75" header="0.3" footer="0.3"/>
  <pageSetup scale="45" orientation="portrait" r:id="rId1"/>
  <ignoredErrors>
    <ignoredError sqref="I12 G12:H12 D12 F12" formulaRange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F382-EC45-4427-9DF5-FEAB4D3649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4323F-FFF1-4D2C-AE85-2A5CFA70A8FB}">
  <sheetPr>
    <pageSetUpPr fitToPage="1"/>
  </sheetPr>
  <dimension ref="A1:P266"/>
  <sheetViews>
    <sheetView showGridLines="0" topLeftCell="A20" zoomScale="76" zoomScaleNormal="92" workbookViewId="0">
      <selection activeCell="S32" sqref="S32"/>
    </sheetView>
  </sheetViews>
  <sheetFormatPr defaultRowHeight="14.4" x14ac:dyDescent="0.3"/>
  <cols>
    <col min="1" max="1" width="3.88671875" style="3" customWidth="1"/>
    <col min="2" max="2" width="47.109375" style="4" bestFit="1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228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42" t="s">
        <v>233</v>
      </c>
    </row>
    <row r="9" spans="1:16" x14ac:dyDescent="0.3">
      <c r="A9" s="4"/>
    </row>
    <row r="10" spans="1:16" x14ac:dyDescent="0.3">
      <c r="A10" s="4"/>
      <c r="B10" s="4" t="s">
        <v>229</v>
      </c>
      <c r="D10" s="4">
        <f>C15</f>
        <v>61.92</v>
      </c>
      <c r="E10" s="4">
        <f t="shared" ref="E10:P10" si="0">D15</f>
        <v>766.06</v>
      </c>
      <c r="F10" s="4">
        <f t="shared" si="0"/>
        <v>747.75</v>
      </c>
      <c r="G10" s="4">
        <f t="shared" si="0"/>
        <v>706.99</v>
      </c>
      <c r="H10" s="4">
        <f t="shared" si="0"/>
        <v>1551.8</v>
      </c>
      <c r="I10" s="4">
        <f t="shared" si="0"/>
        <v>904.72</v>
      </c>
      <c r="J10" s="4">
        <f>I15</f>
        <v>712.94</v>
      </c>
      <c r="K10" s="4">
        <f t="shared" si="0"/>
        <v>1006.3023476908596</v>
      </c>
      <c r="L10" s="4">
        <f t="shared" si="0"/>
        <v>1319.7246412653856</v>
      </c>
      <c r="M10" s="4">
        <f t="shared" si="0"/>
        <v>1657.8317043777272</v>
      </c>
      <c r="N10" s="4">
        <f t="shared" si="0"/>
        <v>2026.4159442355124</v>
      </c>
      <c r="O10" s="4">
        <f t="shared" si="0"/>
        <v>2432.8093918804666</v>
      </c>
      <c r="P10" s="4">
        <f t="shared" si="0"/>
        <v>2886.3973852061717</v>
      </c>
    </row>
    <row r="11" spans="1:16" x14ac:dyDescent="0.3">
      <c r="A11" s="4"/>
      <c r="B11" s="4" t="s">
        <v>230</v>
      </c>
      <c r="C11" s="4">
        <f>C19</f>
        <v>0</v>
      </c>
      <c r="D11" s="4">
        <f t="shared" ref="D11:P11" si="1">D19</f>
        <v>720.95</v>
      </c>
      <c r="E11" s="4">
        <f t="shared" si="1"/>
        <v>0</v>
      </c>
      <c r="F11" s="4">
        <f t="shared" si="1"/>
        <v>698.52</v>
      </c>
      <c r="G11" s="4">
        <f t="shared" si="1"/>
        <v>0</v>
      </c>
      <c r="H11" s="4">
        <f t="shared" si="1"/>
        <v>0</v>
      </c>
      <c r="I11" s="4">
        <f t="shared" si="1"/>
        <v>0</v>
      </c>
      <c r="J11" s="4">
        <f t="shared" si="1"/>
        <v>307.98329241766078</v>
      </c>
      <c r="K11" s="4">
        <f t="shared" si="1"/>
        <v>334.05950147987329</v>
      </c>
      <c r="L11" s="4">
        <f t="shared" si="1"/>
        <v>365.17192275626519</v>
      </c>
      <c r="M11" s="4">
        <f t="shared" si="1"/>
        <v>402.58298549703323</v>
      </c>
      <c r="N11" s="4">
        <f t="shared" si="1"/>
        <v>447.95110398935367</v>
      </c>
      <c r="O11" s="4">
        <f t="shared" si="1"/>
        <v>503.47995008157136</v>
      </c>
      <c r="P11" s="4">
        <f t="shared" si="1"/>
        <v>572.13348492181046</v>
      </c>
    </row>
    <row r="12" spans="1:16" x14ac:dyDescent="0.3">
      <c r="A12" s="4"/>
      <c r="B12" s="4" t="s">
        <v>231</v>
      </c>
      <c r="C12" s="4">
        <f>C25</f>
        <v>0</v>
      </c>
      <c r="D12" s="4">
        <f t="shared" ref="D12:P12" si="2">D25</f>
        <v>0</v>
      </c>
      <c r="E12" s="4">
        <f t="shared" si="2"/>
        <v>0</v>
      </c>
      <c r="F12" s="4">
        <f t="shared" si="2"/>
        <v>-17.73</v>
      </c>
      <c r="G12" s="4">
        <f t="shared" si="2"/>
        <v>-70.23</v>
      </c>
      <c r="H12" s="4">
        <f t="shared" si="2"/>
        <v>0</v>
      </c>
      <c r="I12" s="4">
        <f t="shared" si="2"/>
        <v>0</v>
      </c>
      <c r="J12" s="4">
        <f t="shared" si="2"/>
        <v>-14.620944726801234</v>
      </c>
      <c r="K12" s="4">
        <f t="shared" si="2"/>
        <v>-20.637207905347399</v>
      </c>
      <c r="L12" s="4">
        <f t="shared" si="2"/>
        <v>-27.064859643923455</v>
      </c>
      <c r="M12" s="4">
        <f t="shared" si="2"/>
        <v>-33.99874563924795</v>
      </c>
      <c r="N12" s="4">
        <f t="shared" si="2"/>
        <v>-41.557656344399469</v>
      </c>
      <c r="O12" s="4">
        <f t="shared" si="2"/>
        <v>-49.891956755866161</v>
      </c>
      <c r="P12" s="4">
        <f t="shared" si="2"/>
        <v>-59.194121004128043</v>
      </c>
    </row>
    <row r="13" spans="1:16" x14ac:dyDescent="0.3">
      <c r="A13" s="4"/>
      <c r="B13" s="4" t="s">
        <v>207</v>
      </c>
    </row>
    <row r="14" spans="1:16" x14ac:dyDescent="0.3">
      <c r="A14" s="4"/>
      <c r="D14" s="4">
        <f>D15-SUM(D10:D11)</f>
        <v>-16.810000000000059</v>
      </c>
      <c r="E14" s="4">
        <f t="shared" ref="E14:I14" si="3">E15-SUM(E10:E11)</f>
        <v>-18.309999999999945</v>
      </c>
      <c r="F14" s="4">
        <f t="shared" si="3"/>
        <v>-739.28</v>
      </c>
      <c r="G14" s="4">
        <f t="shared" si="3"/>
        <v>844.81</v>
      </c>
      <c r="H14" s="4">
        <f t="shared" si="3"/>
        <v>-647.07999999999993</v>
      </c>
      <c r="I14" s="4">
        <f t="shared" si="3"/>
        <v>-191.77999999999997</v>
      </c>
    </row>
    <row r="15" spans="1:16" x14ac:dyDescent="0.3">
      <c r="A15" s="4"/>
      <c r="B15" s="8" t="s">
        <v>232</v>
      </c>
      <c r="C15" s="9">
        <f>'Balance Sheet'!C49</f>
        <v>61.92</v>
      </c>
      <c r="D15" s="9">
        <f>'Balance Sheet'!D49</f>
        <v>766.06</v>
      </c>
      <c r="E15" s="9">
        <f>'Balance Sheet'!E49</f>
        <v>747.75</v>
      </c>
      <c r="F15" s="9">
        <f>'Balance Sheet'!F49</f>
        <v>706.99</v>
      </c>
      <c r="G15" s="9">
        <f>'Balance Sheet'!G49</f>
        <v>1551.8</v>
      </c>
      <c r="H15" s="9">
        <f>'Balance Sheet'!H49</f>
        <v>904.72</v>
      </c>
      <c r="I15" s="9">
        <f>'Balance Sheet'!I49</f>
        <v>712.94</v>
      </c>
      <c r="J15" s="9">
        <f>SUM(J10:J14)</f>
        <v>1006.3023476908596</v>
      </c>
      <c r="K15" s="9">
        <f t="shared" ref="K15:P15" si="4">SUM(K10:K14)</f>
        <v>1319.7246412653856</v>
      </c>
      <c r="L15" s="9">
        <f t="shared" si="4"/>
        <v>1657.8317043777272</v>
      </c>
      <c r="M15" s="9">
        <f t="shared" si="4"/>
        <v>2026.4159442355124</v>
      </c>
      <c r="N15" s="9">
        <f t="shared" si="4"/>
        <v>2432.8093918804666</v>
      </c>
      <c r="O15" s="9">
        <f t="shared" si="4"/>
        <v>2886.3973852061717</v>
      </c>
      <c r="P15" s="9">
        <f t="shared" si="4"/>
        <v>3399.3367491238541</v>
      </c>
    </row>
    <row r="16" spans="1:16" x14ac:dyDescent="0.3">
      <c r="A16" s="4"/>
    </row>
    <row r="17" spans="1:16" x14ac:dyDescent="0.3">
      <c r="A17" s="4"/>
      <c r="B17" s="60" t="s">
        <v>234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</row>
    <row r="18" spans="1:16" x14ac:dyDescent="0.3">
      <c r="A18" s="4"/>
    </row>
    <row r="19" spans="1:16" ht="15" thickBot="1" x14ac:dyDescent="0.35">
      <c r="A19" s="4"/>
      <c r="B19" s="103" t="s">
        <v>235</v>
      </c>
      <c r="C19" s="4">
        <f>CFS!C49</f>
        <v>0</v>
      </c>
      <c r="D19" s="4">
        <f>CFS!D49</f>
        <v>720.95</v>
      </c>
      <c r="E19" s="4">
        <f>CFS!E49</f>
        <v>0</v>
      </c>
      <c r="F19" s="4">
        <f>CFS!F49</f>
        <v>698.52</v>
      </c>
      <c r="G19" s="4">
        <f>CFS!G49</f>
        <v>0</v>
      </c>
      <c r="H19" s="4">
        <f>CFS!H49</f>
        <v>0</v>
      </c>
      <c r="I19" s="4">
        <f>CFS!I49</f>
        <v>0</v>
      </c>
      <c r="J19" s="8">
        <f>J21*$J20</f>
        <v>307.98329241766078</v>
      </c>
      <c r="K19" s="8">
        <f t="shared" ref="K19:P19" si="5">K21*$J20</f>
        <v>334.05950147987329</v>
      </c>
      <c r="L19" s="8">
        <f t="shared" si="5"/>
        <v>365.17192275626519</v>
      </c>
      <c r="M19" s="8">
        <f t="shared" si="5"/>
        <v>402.58298549703323</v>
      </c>
      <c r="N19" s="8">
        <f t="shared" si="5"/>
        <v>447.95110398935367</v>
      </c>
      <c r="O19" s="8">
        <f t="shared" si="5"/>
        <v>503.47995008157136</v>
      </c>
      <c r="P19" s="8">
        <f t="shared" si="5"/>
        <v>572.13348492181046</v>
      </c>
    </row>
    <row r="20" spans="1:16" ht="15" thickBot="1" x14ac:dyDescent="0.35">
      <c r="A20" s="4"/>
      <c r="B20" s="101" t="s">
        <v>241</v>
      </c>
      <c r="C20" s="46">
        <f>C19/C21</f>
        <v>0</v>
      </c>
      <c r="D20" s="46">
        <f t="shared" ref="D20:I20" si="6">D19/D21</f>
        <v>6.2153273187321931E-2</v>
      </c>
      <c r="E20" s="46">
        <f t="shared" si="6"/>
        <v>0</v>
      </c>
      <c r="F20" s="46">
        <f t="shared" si="6"/>
        <v>4.9413352612359983E-2</v>
      </c>
      <c r="G20" s="46">
        <f t="shared" si="6"/>
        <v>0</v>
      </c>
      <c r="H20" s="46">
        <f t="shared" si="6"/>
        <v>0</v>
      </c>
      <c r="I20" s="46">
        <f t="shared" si="6"/>
        <v>0</v>
      </c>
      <c r="J20" s="102">
        <f>AVERAGE(C20:I20)</f>
        <v>1.5938089399954558E-2</v>
      </c>
      <c r="K20" s="102">
        <v>1.5938089399954558E-2</v>
      </c>
      <c r="L20" s="102">
        <v>1.5938089399954558E-2</v>
      </c>
      <c r="M20" s="102">
        <v>1.5938089399954558E-2</v>
      </c>
      <c r="N20" s="102">
        <v>1.5938089399954558E-2</v>
      </c>
      <c r="O20" s="102">
        <v>1.5938089399954558E-2</v>
      </c>
      <c r="P20" s="102">
        <v>1.5938089399954558E-2</v>
      </c>
    </row>
    <row r="21" spans="1:16" x14ac:dyDescent="0.3">
      <c r="A21" s="4"/>
      <c r="B21" s="101" t="s">
        <v>242</v>
      </c>
      <c r="C21" s="4">
        <f>'Income Statement'!C10</f>
        <v>11054.669999999998</v>
      </c>
      <c r="D21" s="4">
        <f>'Income Statement'!D10</f>
        <v>11599.55</v>
      </c>
      <c r="E21" s="4">
        <f>'Income Statement'!E10</f>
        <v>13136.140000000001</v>
      </c>
      <c r="F21" s="4">
        <f>'Income Statement'!F10</f>
        <v>14136.26</v>
      </c>
      <c r="G21" s="4">
        <f>'Income Statement'!G10</f>
        <v>16300.55</v>
      </c>
      <c r="H21" s="4">
        <f>'Income Statement'!H10</f>
        <v>16769.27</v>
      </c>
      <c r="I21" s="4">
        <f>'Income Statement'!I10</f>
        <v>17942.670000000002</v>
      </c>
      <c r="J21" s="4">
        <f>'Income Statement'!J10</f>
        <v>19323.727247918367</v>
      </c>
      <c r="K21" s="4">
        <f>'Income Statement'!K10</f>
        <v>20959.821036066329</v>
      </c>
      <c r="L21" s="4">
        <f>'Income Statement'!L10</f>
        <v>22911.900767560404</v>
      </c>
      <c r="M21" s="4">
        <f>'Income Statement'!M10</f>
        <v>25259.174760193091</v>
      </c>
      <c r="N21" s="4">
        <f>'Income Statement'!N10</f>
        <v>28105.696532900038</v>
      </c>
      <c r="O21" s="4">
        <f>'Income Statement'!O10</f>
        <v>31589.73057856024</v>
      </c>
      <c r="P21" s="4">
        <f>'Income Statement'!P10</f>
        <v>35897.244052567665</v>
      </c>
    </row>
    <row r="22" spans="1:16" s="8" customFormat="1" x14ac:dyDescent="0.3">
      <c r="H22" s="4"/>
      <c r="I22" s="4"/>
      <c r="J22" s="4"/>
    </row>
    <row r="23" spans="1:16" x14ac:dyDescent="0.3">
      <c r="A23" s="4"/>
      <c r="B23" s="60" t="s">
        <v>231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</row>
    <row r="24" spans="1:16" x14ac:dyDescent="0.3">
      <c r="A24" s="4"/>
    </row>
    <row r="25" spans="1:16" ht="15" thickBot="1" x14ac:dyDescent="0.35">
      <c r="A25" s="4"/>
      <c r="B25" s="42" t="s">
        <v>231</v>
      </c>
      <c r="C25" s="4">
        <f>CFS!C54</f>
        <v>0</v>
      </c>
      <c r="D25" s="4">
        <f>CFS!D54</f>
        <v>0</v>
      </c>
      <c r="E25" s="4">
        <f>CFS!E54</f>
        <v>0</v>
      </c>
      <c r="F25" s="4">
        <f>CFS!F54</f>
        <v>-17.73</v>
      </c>
      <c r="G25" s="4">
        <f>CFS!G54</f>
        <v>-70.23</v>
      </c>
      <c r="H25" s="4">
        <f>CFS!H54</f>
        <v>0</v>
      </c>
      <c r="I25" s="4">
        <f>CFS!I54</f>
        <v>0</v>
      </c>
      <c r="J25" s="4">
        <f>J10*$J26</f>
        <v>-14.620944726801234</v>
      </c>
      <c r="K25" s="4">
        <f t="shared" ref="K25:P25" si="7">K10*$J26</f>
        <v>-20.637207905347399</v>
      </c>
      <c r="L25" s="4">
        <f t="shared" si="7"/>
        <v>-27.064859643923455</v>
      </c>
      <c r="M25" s="4">
        <f t="shared" si="7"/>
        <v>-33.99874563924795</v>
      </c>
      <c r="N25" s="4">
        <f t="shared" si="7"/>
        <v>-41.557656344399469</v>
      </c>
      <c r="O25" s="4">
        <f t="shared" si="7"/>
        <v>-49.891956755866161</v>
      </c>
      <c r="P25" s="4">
        <f t="shared" si="7"/>
        <v>-59.194121004128043</v>
      </c>
    </row>
    <row r="26" spans="1:16" ht="15" thickBot="1" x14ac:dyDescent="0.35">
      <c r="A26" s="4"/>
      <c r="B26" s="8" t="s">
        <v>239</v>
      </c>
      <c r="C26" s="46"/>
      <c r="D26" s="46">
        <f t="shared" ref="D26:I26" si="8">D25/D10</f>
        <v>0</v>
      </c>
      <c r="E26" s="46">
        <f t="shared" si="8"/>
        <v>0</v>
      </c>
      <c r="F26" s="46">
        <f t="shared" si="8"/>
        <v>-2.3711133400200601E-2</v>
      </c>
      <c r="G26" s="46">
        <f t="shared" si="8"/>
        <v>-9.9336624280400007E-2</v>
      </c>
      <c r="H26" s="46">
        <f t="shared" si="8"/>
        <v>0</v>
      </c>
      <c r="I26" s="46">
        <f t="shared" si="8"/>
        <v>0</v>
      </c>
      <c r="J26" s="102">
        <f>AVERAGE(D26:I26)</f>
        <v>-2.0507959613433435E-2</v>
      </c>
      <c r="K26" s="102">
        <v>-2.0507959613433435E-2</v>
      </c>
      <c r="L26" s="102">
        <v>-2.0507959613433435E-2</v>
      </c>
      <c r="M26" s="102">
        <v>-2.0507959613433435E-2</v>
      </c>
      <c r="N26" s="102">
        <v>-2.0507959613433435E-2</v>
      </c>
      <c r="O26" s="102">
        <v>-2.0507959613433435E-2</v>
      </c>
      <c r="P26" s="102">
        <v>-2.0507959613433435E-2</v>
      </c>
    </row>
    <row r="27" spans="1:16" x14ac:dyDescent="0.3">
      <c r="A27" s="4"/>
    </row>
    <row r="28" spans="1:16" x14ac:dyDescent="0.3">
      <c r="A28" s="4"/>
      <c r="B28" s="60" t="s">
        <v>237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</row>
    <row r="29" spans="1:16" x14ac:dyDescent="0.3">
      <c r="A29" s="4"/>
    </row>
    <row r="30" spans="1:16" ht="15" thickBot="1" x14ac:dyDescent="0.35">
      <c r="A30" s="4"/>
      <c r="B30" s="42" t="s">
        <v>16</v>
      </c>
      <c r="C30" s="4">
        <f>'Income Statement'!C19</f>
        <v>9.09</v>
      </c>
      <c r="D30" s="4">
        <f>'Income Statement'!D19</f>
        <v>76.900000000000006</v>
      </c>
      <c r="E30" s="4">
        <f>'Income Statement'!E19</f>
        <v>110.9</v>
      </c>
      <c r="F30" s="4">
        <f>'Income Statement'!F19</f>
        <v>144.29</v>
      </c>
      <c r="G30" s="4">
        <f>'Income Statement'!G19</f>
        <v>169.1</v>
      </c>
      <c r="H30" s="4">
        <f>'Income Statement'!H19</f>
        <v>164</v>
      </c>
      <c r="I30" s="4">
        <f>'Income Statement'!I19</f>
        <v>138.80000000000001</v>
      </c>
      <c r="J30" s="4">
        <f>J37*$J31</f>
        <v>124.53594968327214</v>
      </c>
      <c r="K30" s="4">
        <f t="shared" ref="K30:P30" si="9">K37*$J31</f>
        <v>187.74970197175045</v>
      </c>
      <c r="L30" s="4">
        <f t="shared" si="9"/>
        <v>279.9530268269317</v>
      </c>
      <c r="M30" s="4">
        <f t="shared" si="9"/>
        <v>420.59916864789676</v>
      </c>
      <c r="N30" s="4">
        <f t="shared" si="9"/>
        <v>642.57452636469134</v>
      </c>
      <c r="O30" s="4">
        <f t="shared" si="9"/>
        <v>1001.5613297085015</v>
      </c>
      <c r="P30" s="4">
        <f t="shared" si="9"/>
        <v>1591.9431910641995</v>
      </c>
    </row>
    <row r="31" spans="1:16" ht="15" thickBot="1" x14ac:dyDescent="0.35">
      <c r="A31" s="4"/>
      <c r="B31" s="8" t="s">
        <v>238</v>
      </c>
      <c r="C31" s="46">
        <f>C30/C37</f>
        <v>0.13172004057382988</v>
      </c>
      <c r="D31" s="46">
        <f t="shared" ref="D31:I31" si="10">D30/D37</f>
        <v>9.3095328890422324E-2</v>
      </c>
      <c r="E31" s="46">
        <f t="shared" si="10"/>
        <v>6.1590238863496259E-2</v>
      </c>
      <c r="F31" s="46">
        <f t="shared" si="10"/>
        <v>6.338642259225824E-2</v>
      </c>
      <c r="G31" s="46">
        <f t="shared" si="10"/>
        <v>6.2100054167699523E-2</v>
      </c>
      <c r="H31" s="46">
        <f t="shared" si="10"/>
        <v>6.5316266139888321E-2</v>
      </c>
      <c r="I31" s="46">
        <f t="shared" si="10"/>
        <v>8.4997458649471225E-2</v>
      </c>
      <c r="J31" s="102">
        <f>AVERAGE(C31:I31)</f>
        <v>8.0315115696723685E-2</v>
      </c>
      <c r="K31" s="102">
        <v>8.0315115696723685E-2</v>
      </c>
      <c r="L31" s="102">
        <v>8.0315115696723685E-2</v>
      </c>
      <c r="M31" s="102">
        <v>8.0315115696723685E-2</v>
      </c>
      <c r="N31" s="102">
        <v>8.0315115696723685E-2</v>
      </c>
      <c r="O31" s="102">
        <v>8.0315115696723685E-2</v>
      </c>
      <c r="P31" s="102">
        <v>8.0315115696723685E-2</v>
      </c>
    </row>
    <row r="32" spans="1:16" x14ac:dyDescent="0.3">
      <c r="A32" s="4"/>
    </row>
    <row r="33" spans="1:16" x14ac:dyDescent="0.3">
      <c r="A33" s="4"/>
    </row>
    <row r="34" spans="1:16" x14ac:dyDescent="0.3">
      <c r="A34" s="4"/>
      <c r="B34" s="42" t="s">
        <v>240</v>
      </c>
    </row>
    <row r="35" spans="1:16" x14ac:dyDescent="0.3">
      <c r="A35" s="4"/>
      <c r="B35" s="104" t="s">
        <v>203</v>
      </c>
      <c r="C35" s="8">
        <f>C10+C41</f>
        <v>0</v>
      </c>
      <c r="D35" s="8">
        <f t="shared" ref="D35:P35" si="11">D10+D41</f>
        <v>138.01999999999998</v>
      </c>
      <c r="E35" s="8">
        <f t="shared" si="11"/>
        <v>1514.05</v>
      </c>
      <c r="F35" s="8">
        <f t="shared" si="11"/>
        <v>2087.17</v>
      </c>
      <c r="G35" s="8">
        <f t="shared" si="11"/>
        <v>2465.54</v>
      </c>
      <c r="H35" s="8">
        <f t="shared" si="11"/>
        <v>2980.51</v>
      </c>
      <c r="I35" s="8">
        <f t="shared" si="11"/>
        <v>2041.21</v>
      </c>
      <c r="J35" s="8">
        <f t="shared" si="11"/>
        <v>1224.77</v>
      </c>
      <c r="K35" s="8">
        <f t="shared" si="11"/>
        <v>1876.4133476908596</v>
      </c>
      <c r="L35" s="8">
        <f t="shared" si="11"/>
        <v>2798.9133412653855</v>
      </c>
      <c r="M35" s="8">
        <f t="shared" si="11"/>
        <v>4172.4524943777269</v>
      </c>
      <c r="N35" s="8">
        <f t="shared" si="11"/>
        <v>6301.2712872355114</v>
      </c>
      <c r="O35" s="8">
        <f t="shared" si="11"/>
        <v>9700.0634749804649</v>
      </c>
      <c r="P35" s="8">
        <f t="shared" si="11"/>
        <v>15240.729326476168</v>
      </c>
    </row>
    <row r="36" spans="1:16" x14ac:dyDescent="0.3">
      <c r="A36" s="4"/>
      <c r="B36" s="104" t="s">
        <v>232</v>
      </c>
      <c r="C36" s="8">
        <f>C44+C15</f>
        <v>138.01999999999998</v>
      </c>
      <c r="D36" s="8">
        <f t="shared" ref="D36:P36" si="12">D44+D15</f>
        <v>1514.05</v>
      </c>
      <c r="E36" s="8">
        <f t="shared" si="12"/>
        <v>2087.17</v>
      </c>
      <c r="F36" s="8">
        <f t="shared" si="12"/>
        <v>2465.54</v>
      </c>
      <c r="G36" s="8">
        <f t="shared" si="12"/>
        <v>2980.51</v>
      </c>
      <c r="H36" s="8">
        <f t="shared" si="12"/>
        <v>2041.21</v>
      </c>
      <c r="I36" s="8">
        <f t="shared" si="12"/>
        <v>1224.77</v>
      </c>
      <c r="J36" s="8">
        <f t="shared" si="12"/>
        <v>1876.4133476908596</v>
      </c>
      <c r="K36" s="8">
        <f t="shared" si="12"/>
        <v>2798.9133412653855</v>
      </c>
      <c r="L36" s="8">
        <f t="shared" si="12"/>
        <v>4172.4524943777269</v>
      </c>
      <c r="M36" s="8">
        <f t="shared" si="12"/>
        <v>6301.2712872355114</v>
      </c>
      <c r="N36" s="8">
        <f t="shared" si="12"/>
        <v>9700.0634749804649</v>
      </c>
      <c r="O36" s="8">
        <f t="shared" si="12"/>
        <v>15240.729326476168</v>
      </c>
      <c r="P36" s="8">
        <f t="shared" si="12"/>
        <v>24401.701049282849</v>
      </c>
    </row>
    <row r="37" spans="1:16" x14ac:dyDescent="0.3">
      <c r="A37" s="4"/>
      <c r="B37" s="104" t="s">
        <v>243</v>
      </c>
      <c r="C37" s="8">
        <f>AVERAGE(C35,C36)</f>
        <v>69.009999999999991</v>
      </c>
      <c r="D37" s="8">
        <f t="shared" ref="D37:P37" si="13">AVERAGE(D35,D36)</f>
        <v>826.03499999999997</v>
      </c>
      <c r="E37" s="8">
        <f t="shared" si="13"/>
        <v>1800.6100000000001</v>
      </c>
      <c r="F37" s="8">
        <f t="shared" si="13"/>
        <v>2276.355</v>
      </c>
      <c r="G37" s="8">
        <f t="shared" si="13"/>
        <v>2723.0250000000001</v>
      </c>
      <c r="H37" s="8">
        <f t="shared" si="13"/>
        <v>2510.86</v>
      </c>
      <c r="I37" s="8">
        <f t="shared" si="13"/>
        <v>1632.99</v>
      </c>
      <c r="J37" s="8">
        <f t="shared" si="13"/>
        <v>1550.5916738454298</v>
      </c>
      <c r="K37" s="8">
        <f t="shared" si="13"/>
        <v>2337.6633444781228</v>
      </c>
      <c r="L37" s="8">
        <f t="shared" si="13"/>
        <v>3485.6829178215562</v>
      </c>
      <c r="M37" s="8">
        <f t="shared" si="13"/>
        <v>5236.8618908066192</v>
      </c>
      <c r="N37" s="8">
        <f t="shared" si="13"/>
        <v>8000.6673811079881</v>
      </c>
      <c r="O37" s="8">
        <f t="shared" si="13"/>
        <v>12470.396400728318</v>
      </c>
      <c r="P37" s="8">
        <f t="shared" si="13"/>
        <v>19821.215187879508</v>
      </c>
    </row>
    <row r="38" spans="1:16" x14ac:dyDescent="0.3">
      <c r="A38" s="4"/>
    </row>
    <row r="39" spans="1:16" x14ac:dyDescent="0.3">
      <c r="A39" s="4"/>
    </row>
    <row r="40" spans="1:16" x14ac:dyDescent="0.3">
      <c r="A40" s="4"/>
      <c r="B40" s="105" t="s">
        <v>244</v>
      </c>
    </row>
    <row r="41" spans="1:16" x14ac:dyDescent="0.3">
      <c r="A41" s="4"/>
      <c r="B41" t="s">
        <v>245</v>
      </c>
      <c r="D41" s="4">
        <f>C44</f>
        <v>76.099999999999994</v>
      </c>
      <c r="E41" s="4">
        <f t="shared" ref="E41:P41" si="14">D44</f>
        <v>747.99</v>
      </c>
      <c r="F41" s="4">
        <f t="shared" si="14"/>
        <v>1339.42</v>
      </c>
      <c r="G41" s="4">
        <f t="shared" si="14"/>
        <v>1758.55</v>
      </c>
      <c r="H41" s="4">
        <f t="shared" si="14"/>
        <v>1428.71</v>
      </c>
      <c r="I41" s="4">
        <f t="shared" si="14"/>
        <v>1136.49</v>
      </c>
      <c r="J41" s="4">
        <f t="shared" si="14"/>
        <v>511.83</v>
      </c>
      <c r="K41" s="4">
        <f t="shared" si="14"/>
        <v>870.11099999999988</v>
      </c>
      <c r="L41" s="4">
        <f t="shared" si="14"/>
        <v>1479.1886999999997</v>
      </c>
      <c r="M41" s="4">
        <f t="shared" si="14"/>
        <v>2514.6207899999995</v>
      </c>
      <c r="N41" s="4">
        <f t="shared" si="14"/>
        <v>4274.8553429999993</v>
      </c>
      <c r="O41" s="4">
        <f t="shared" si="14"/>
        <v>7267.2540830999988</v>
      </c>
      <c r="P41" s="4">
        <f t="shared" si="14"/>
        <v>12354.331941269997</v>
      </c>
    </row>
    <row r="42" spans="1:16" x14ac:dyDescent="0.3">
      <c r="A42" s="4"/>
      <c r="B42" t="s">
        <v>246</v>
      </c>
      <c r="C42" s="4">
        <f>C46</f>
        <v>-41.91</v>
      </c>
      <c r="D42" s="4">
        <f t="shared" ref="D42:I42" si="15">D46</f>
        <v>640.72199999999998</v>
      </c>
      <c r="E42" s="4">
        <f t="shared" si="15"/>
        <v>567.79999999999995</v>
      </c>
      <c r="F42" s="4">
        <f t="shared" si="15"/>
        <v>0</v>
      </c>
      <c r="G42" s="4">
        <f t="shared" si="15"/>
        <v>0</v>
      </c>
      <c r="H42" s="4">
        <f t="shared" si="15"/>
        <v>-1027.48</v>
      </c>
      <c r="I42" s="4">
        <f t="shared" si="15"/>
        <v>26.26</v>
      </c>
      <c r="J42" s="4">
        <f>J46</f>
        <v>358.28099999999995</v>
      </c>
      <c r="K42" s="4">
        <f t="shared" ref="K42:P42" si="16">K46</f>
        <v>609.07769999999982</v>
      </c>
      <c r="L42" s="4">
        <f t="shared" si="16"/>
        <v>1035.4320899999998</v>
      </c>
      <c r="M42" s="4">
        <f t="shared" si="16"/>
        <v>1760.2345529999996</v>
      </c>
      <c r="N42" s="4">
        <f t="shared" si="16"/>
        <v>2992.3987400999995</v>
      </c>
      <c r="O42" s="4">
        <f t="shared" si="16"/>
        <v>5087.0778581699988</v>
      </c>
      <c r="P42" s="4">
        <f t="shared" si="16"/>
        <v>8648.0323588889969</v>
      </c>
    </row>
    <row r="43" spans="1:16" x14ac:dyDescent="0.3">
      <c r="A43" s="4"/>
      <c r="B43" t="s">
        <v>207</v>
      </c>
      <c r="C43" s="106">
        <f>C44-(SUM(C41:C42))</f>
        <v>118.00999999999999</v>
      </c>
      <c r="D43" s="106">
        <f t="shared" ref="D43:I43" si="17">D44-(SUM(D41:D42))</f>
        <v>31.168000000000006</v>
      </c>
      <c r="E43" s="106">
        <f t="shared" si="17"/>
        <v>23.630000000000109</v>
      </c>
      <c r="F43" s="106">
        <f t="shared" si="17"/>
        <v>419.12999999999988</v>
      </c>
      <c r="G43" s="106">
        <f t="shared" si="17"/>
        <v>-329.83999999999992</v>
      </c>
      <c r="H43" s="106">
        <f t="shared" si="17"/>
        <v>735.26</v>
      </c>
      <c r="I43" s="106">
        <f t="shared" si="17"/>
        <v>-650.92000000000007</v>
      </c>
      <c r="J43"/>
      <c r="K43"/>
      <c r="L43"/>
      <c r="M43"/>
      <c r="N43"/>
      <c r="O43"/>
      <c r="P43"/>
    </row>
    <row r="44" spans="1:16" x14ac:dyDescent="0.3">
      <c r="A44" s="4"/>
      <c r="B44" s="57" t="s">
        <v>232</v>
      </c>
      <c r="C44" s="9">
        <f>'Balance Sheet'!C64</f>
        <v>76.099999999999994</v>
      </c>
      <c r="D44" s="9">
        <f>'Balance Sheet'!D64</f>
        <v>747.99</v>
      </c>
      <c r="E44" s="9">
        <f>'Balance Sheet'!E64</f>
        <v>1339.42</v>
      </c>
      <c r="F44" s="9">
        <f>'Balance Sheet'!F64</f>
        <v>1758.55</v>
      </c>
      <c r="G44" s="9">
        <f>'Balance Sheet'!G64</f>
        <v>1428.71</v>
      </c>
      <c r="H44" s="9">
        <f>'Balance Sheet'!H64</f>
        <v>1136.49</v>
      </c>
      <c r="I44" s="9">
        <f>'Balance Sheet'!I64</f>
        <v>511.83</v>
      </c>
      <c r="J44" s="9">
        <f>SUM(J41:J43)</f>
        <v>870.11099999999988</v>
      </c>
      <c r="K44" s="9">
        <f t="shared" ref="K44:P44" si="18">SUM(K41:K43)</f>
        <v>1479.1886999999997</v>
      </c>
      <c r="L44" s="9">
        <f t="shared" si="18"/>
        <v>2514.6207899999995</v>
      </c>
      <c r="M44" s="9">
        <f t="shared" si="18"/>
        <v>4274.8553429999993</v>
      </c>
      <c r="N44" s="9">
        <f t="shared" si="18"/>
        <v>7267.2540830999988</v>
      </c>
      <c r="O44" s="9">
        <f t="shared" si="18"/>
        <v>12354.331941269997</v>
      </c>
      <c r="P44" s="9">
        <f t="shared" si="18"/>
        <v>21002.364300158995</v>
      </c>
    </row>
    <row r="45" spans="1:16" x14ac:dyDescent="0.3">
      <c r="A45" s="4"/>
      <c r="B45"/>
      <c r="C45" s="8"/>
      <c r="D45" s="8"/>
      <c r="E45" s="8"/>
      <c r="F45" s="8"/>
      <c r="G45" s="8"/>
      <c r="H45" s="8"/>
      <c r="I45" s="8"/>
    </row>
    <row r="46" spans="1:16" ht="15" thickBot="1" x14ac:dyDescent="0.35">
      <c r="A46" s="4"/>
      <c r="B46" s="56" t="s">
        <v>246</v>
      </c>
      <c r="C46" s="4">
        <f>CFS!C55</f>
        <v>-41.91</v>
      </c>
      <c r="D46" s="4">
        <f>CFS!D55</f>
        <v>640.72199999999998</v>
      </c>
      <c r="E46" s="4">
        <f>CFS!E55</f>
        <v>567.79999999999995</v>
      </c>
      <c r="F46" s="4">
        <f>CFS!F55</f>
        <v>0</v>
      </c>
      <c r="G46" s="4">
        <f>CFS!G55</f>
        <v>0</v>
      </c>
      <c r="H46" s="4">
        <f>CFS!H55</f>
        <v>-1027.48</v>
      </c>
      <c r="I46" s="4">
        <f>CFS!I55</f>
        <v>26.26</v>
      </c>
      <c r="J46" s="4">
        <f>J41*J$47</f>
        <v>358.28099999999995</v>
      </c>
      <c r="K46" s="4">
        <f>K41*K$47</f>
        <v>609.07769999999982</v>
      </c>
      <c r="L46" s="4">
        <f t="shared" ref="L46:P46" si="19">L41*L$47</f>
        <v>1035.4320899999998</v>
      </c>
      <c r="M46" s="4">
        <f t="shared" si="19"/>
        <v>1760.2345529999996</v>
      </c>
      <c r="N46" s="4">
        <f t="shared" si="19"/>
        <v>2992.3987400999995</v>
      </c>
      <c r="O46" s="4">
        <f t="shared" si="19"/>
        <v>5087.0778581699988</v>
      </c>
      <c r="P46" s="4">
        <f t="shared" si="19"/>
        <v>8648.0323588889969</v>
      </c>
    </row>
    <row r="47" spans="1:16" ht="29.4" thickBot="1" x14ac:dyDescent="0.35">
      <c r="A47" s="4"/>
      <c r="B47" s="56" t="s">
        <v>247</v>
      </c>
      <c r="D47" s="46">
        <f>D46/D41</f>
        <v>8.419474375821288</v>
      </c>
      <c r="E47" s="46">
        <f t="shared" ref="E47:I47" si="20">E46/E41</f>
        <v>0.75910105750076862</v>
      </c>
      <c r="F47" s="46">
        <f t="shared" si="20"/>
        <v>0</v>
      </c>
      <c r="G47" s="46">
        <f t="shared" si="20"/>
        <v>0</v>
      </c>
      <c r="H47" s="46">
        <f t="shared" si="20"/>
        <v>-0.71916624087463521</v>
      </c>
      <c r="I47" s="46">
        <f t="shared" si="20"/>
        <v>2.3106230587158709E-2</v>
      </c>
      <c r="J47" s="102">
        <f>70%</f>
        <v>0.7</v>
      </c>
      <c r="K47" s="102">
        <v>0.7</v>
      </c>
      <c r="L47" s="102">
        <v>0.7</v>
      </c>
      <c r="M47" s="102">
        <v>0.7</v>
      </c>
      <c r="N47" s="102">
        <v>0.7</v>
      </c>
      <c r="O47" s="102">
        <v>0.7</v>
      </c>
      <c r="P47" s="102">
        <v>0.7</v>
      </c>
    </row>
    <row r="48" spans="1:16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</sheetData>
  <mergeCells count="2">
    <mergeCell ref="B1:D1"/>
    <mergeCell ref="B2:D2"/>
  </mergeCells>
  <pageMargins left="0.7" right="0.7" top="0.75" bottom="0.75" header="0.3" footer="0.3"/>
  <pageSetup scale="45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646E-E6A9-4A07-94D1-C68FBA27A9F8}">
  <sheetPr>
    <pageSetUpPr fitToPage="1"/>
  </sheetPr>
  <dimension ref="A1:P271"/>
  <sheetViews>
    <sheetView topLeftCell="A37" zoomScale="80" zoomScaleNormal="85" workbookViewId="0">
      <selection activeCell="E33" sqref="E33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263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61" t="s">
        <v>251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</row>
    <row r="9" spans="1:16" x14ac:dyDescent="0.3">
      <c r="A9" s="4"/>
      <c r="B9"/>
    </row>
    <row r="10" spans="1:16" x14ac:dyDescent="0.3">
      <c r="A10" s="4"/>
    </row>
    <row r="11" spans="1:16" x14ac:dyDescent="0.3">
      <c r="A11" s="4"/>
      <c r="B11" s="105" t="s">
        <v>251</v>
      </c>
      <c r="C11" s="4">
        <f>'Balance Sheet'!C24</f>
        <v>781.38</v>
      </c>
      <c r="D11" s="4">
        <f>'Balance Sheet'!D24</f>
        <v>740.96</v>
      </c>
      <c r="E11" s="4">
        <f>'Balance Sheet'!E24</f>
        <v>1091.49</v>
      </c>
      <c r="F11" s="4">
        <f>'Balance Sheet'!F24</f>
        <v>1367.49</v>
      </c>
      <c r="G11" s="4">
        <f>'Balance Sheet'!G24</f>
        <v>1193.26</v>
      </c>
      <c r="H11" s="4">
        <f>'Balance Sheet'!H24</f>
        <v>1181.22</v>
      </c>
      <c r="I11" s="4">
        <f>'Balance Sheet'!I24</f>
        <v>1236.51</v>
      </c>
      <c r="J11" s="8">
        <f>J13*2-I11</f>
        <v>1527.6793282815704</v>
      </c>
      <c r="K11" s="8">
        <f t="shared" ref="K11:P11" si="0">K13*2-J11</f>
        <v>1626.7368542416118</v>
      </c>
      <c r="L11" s="8">
        <f t="shared" si="0"/>
        <v>1673.187243586565</v>
      </c>
      <c r="M11" s="8">
        <f t="shared" si="0"/>
        <v>2030.8364740944842</v>
      </c>
      <c r="N11" s="8">
        <f t="shared" si="0"/>
        <v>2250.8720562651852</v>
      </c>
      <c r="O11" s="8">
        <f t="shared" si="0"/>
        <v>2470.0177079618716</v>
      </c>
      <c r="P11" s="8">
        <f t="shared" si="0"/>
        <v>2783.9632493067202</v>
      </c>
    </row>
    <row r="12" spans="1:16" x14ac:dyDescent="0.3">
      <c r="A12" s="4"/>
      <c r="B12"/>
    </row>
    <row r="13" spans="1:16" x14ac:dyDescent="0.3">
      <c r="A13" s="4"/>
      <c r="B13" s="57" t="s">
        <v>253</v>
      </c>
      <c r="D13" s="4">
        <f>AVERAGE(C11:D11)</f>
        <v>761.17000000000007</v>
      </c>
      <c r="E13" s="4">
        <f t="shared" ref="E13:I13" si="1">AVERAGE(D11:E11)</f>
        <v>916.22500000000002</v>
      </c>
      <c r="F13" s="4">
        <f t="shared" si="1"/>
        <v>1229.49</v>
      </c>
      <c r="G13" s="4">
        <f t="shared" si="1"/>
        <v>1280.375</v>
      </c>
      <c r="H13" s="4">
        <f t="shared" si="1"/>
        <v>1187.24</v>
      </c>
      <c r="I13" s="4">
        <f t="shared" si="1"/>
        <v>1208.865</v>
      </c>
      <c r="J13" s="4">
        <f>J15/J17</f>
        <v>1382.0946641407852</v>
      </c>
      <c r="K13" s="4">
        <f t="shared" ref="K13:P13" si="2">K15/K17</f>
        <v>1577.2080912615911</v>
      </c>
      <c r="L13" s="4">
        <f t="shared" si="2"/>
        <v>1649.9620489140884</v>
      </c>
      <c r="M13" s="4">
        <f t="shared" si="2"/>
        <v>1852.0118588405246</v>
      </c>
      <c r="N13" s="4">
        <f t="shared" si="2"/>
        <v>2140.8542651798348</v>
      </c>
      <c r="O13" s="4">
        <f t="shared" si="2"/>
        <v>2360.4448821135284</v>
      </c>
      <c r="P13" s="4">
        <f t="shared" si="2"/>
        <v>2626.9904786342959</v>
      </c>
    </row>
    <row r="14" spans="1:16" x14ac:dyDescent="0.3">
      <c r="A14" s="4"/>
      <c r="B14" s="57"/>
    </row>
    <row r="15" spans="1:16" x14ac:dyDescent="0.3">
      <c r="A15" s="4"/>
      <c r="B15" s="57" t="s">
        <v>222</v>
      </c>
      <c r="C15" s="4">
        <f>'Income Statement'!C17</f>
        <v>6561.46</v>
      </c>
      <c r="D15" s="4">
        <f>'Income Statement'!D17</f>
        <v>6927.4699999999993</v>
      </c>
      <c r="E15" s="4">
        <f>'Income Statement'!E17</f>
        <v>7626.1</v>
      </c>
      <c r="F15" s="4">
        <f>'Income Statement'!F17</f>
        <v>8760.2999999999993</v>
      </c>
      <c r="G15" s="4">
        <f>'Income Statement'!G17</f>
        <v>9591.3000000000011</v>
      </c>
      <c r="H15" s="4">
        <f>'Income Statement'!H17</f>
        <v>9492.0299999999988</v>
      </c>
      <c r="I15" s="4">
        <f>'Income Statement'!I17</f>
        <v>10604.050000000001</v>
      </c>
      <c r="J15" s="4">
        <f>'Income Statement'!J17</f>
        <v>11242.781760709844</v>
      </c>
      <c r="K15" s="4">
        <f>'Income Statement'!K17</f>
        <v>12575.892621639798</v>
      </c>
      <c r="L15" s="4">
        <f>'Income Statement'!L17</f>
        <v>13059.78343750943</v>
      </c>
      <c r="M15" s="4">
        <f>'Income Statement'!M17</f>
        <v>14902.913108513923</v>
      </c>
      <c r="N15" s="4">
        <f>'Income Statement'!N17</f>
        <v>17425.531850398023</v>
      </c>
      <c r="O15" s="4">
        <f>'Income Statement'!O17</f>
        <v>19269.735652921747</v>
      </c>
      <c r="P15" s="4">
        <f>'Income Statement'!P17</f>
        <v>21179.37399101492</v>
      </c>
    </row>
    <row r="16" spans="1:16" x14ac:dyDescent="0.3">
      <c r="A16" s="4"/>
      <c r="B16" s="57"/>
    </row>
    <row r="17" spans="1:16" x14ac:dyDescent="0.3">
      <c r="A17" s="4"/>
      <c r="B17" s="57" t="s">
        <v>249</v>
      </c>
      <c r="D17" s="4">
        <f t="shared" ref="D17:I17" si="3">D15/D13</f>
        <v>9.101081230211383</v>
      </c>
      <c r="E17" s="4">
        <f t="shared" si="3"/>
        <v>8.3233921798684829</v>
      </c>
      <c r="F17" s="4">
        <f t="shared" si="3"/>
        <v>7.1251494522118923</v>
      </c>
      <c r="G17" s="4">
        <f t="shared" si="3"/>
        <v>7.4910084936053902</v>
      </c>
      <c r="H17" s="4">
        <f t="shared" si="3"/>
        <v>7.995038913783227</v>
      </c>
      <c r="I17" s="4">
        <f t="shared" si="3"/>
        <v>8.7719058786547723</v>
      </c>
      <c r="J17" s="108">
        <f>AVERAGE(D17:I17)</f>
        <v>8.1345960247225246</v>
      </c>
      <c r="K17" s="108">
        <f>AVERAGE(E17:J17)</f>
        <v>7.9735151571410476</v>
      </c>
      <c r="L17" s="108">
        <f t="shared" ref="L17:P17" si="4">AVERAGE(F17:K17)</f>
        <v>7.9152023200198087</v>
      </c>
      <c r="M17" s="108">
        <f t="shared" si="4"/>
        <v>8.0468777979877952</v>
      </c>
      <c r="N17" s="108">
        <f t="shared" si="4"/>
        <v>8.1395226820515294</v>
      </c>
      <c r="O17" s="108">
        <f t="shared" si="4"/>
        <v>8.1636033100962475</v>
      </c>
      <c r="P17" s="108">
        <f t="shared" si="4"/>
        <v>8.0622195486698249</v>
      </c>
    </row>
    <row r="18" spans="1:16" x14ac:dyDescent="0.3">
      <c r="A18" s="4"/>
      <c r="B18" s="57"/>
    </row>
    <row r="19" spans="1:16" x14ac:dyDescent="0.3">
      <c r="A19" s="4"/>
      <c r="B19" s="57" t="s">
        <v>250</v>
      </c>
      <c r="D19" s="4">
        <f>365/D17</f>
        <v>40.105124959039891</v>
      </c>
      <c r="E19" s="4">
        <f t="shared" ref="E19:H19" si="5">365/E17</f>
        <v>43.852313108928541</v>
      </c>
      <c r="F19" s="4">
        <f t="shared" si="5"/>
        <v>51.226995650833878</v>
      </c>
      <c r="G19" s="4">
        <f t="shared" si="5"/>
        <v>48.72508158435248</v>
      </c>
      <c r="H19" s="4">
        <f t="shared" si="5"/>
        <v>45.653311251650074</v>
      </c>
      <c r="I19" s="4">
        <f>365/I17</f>
        <v>41.610113588676022</v>
      </c>
      <c r="J19" s="4">
        <f>365/J17</f>
        <v>44.870083147423458</v>
      </c>
      <c r="K19" s="4">
        <f>365/K17</f>
        <v>45.776548085333168</v>
      </c>
      <c r="L19" s="4">
        <f t="shared" ref="L19:P19" si="6">365/L17</f>
        <v>46.113792830893367</v>
      </c>
      <c r="M19" s="4">
        <f t="shared" si="6"/>
        <v>45.359207529070716</v>
      </c>
      <c r="N19" s="4">
        <f t="shared" si="6"/>
        <v>44.84292436519182</v>
      </c>
      <c r="O19" s="4">
        <f t="shared" si="6"/>
        <v>44.710648733824463</v>
      </c>
      <c r="P19" s="4">
        <f t="shared" si="6"/>
        <v>45.27289263168489</v>
      </c>
    </row>
    <row r="20" spans="1:16" x14ac:dyDescent="0.3">
      <c r="A20" s="4"/>
    </row>
    <row r="21" spans="1:16" x14ac:dyDescent="0.3">
      <c r="A21" s="4"/>
      <c r="B21" s="61" t="s">
        <v>252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</row>
    <row r="22" spans="1:16" x14ac:dyDescent="0.3">
      <c r="A22" s="4"/>
    </row>
    <row r="23" spans="1:16" x14ac:dyDescent="0.3">
      <c r="A23" s="4"/>
    </row>
    <row r="24" spans="1:16" x14ac:dyDescent="0.3">
      <c r="A24" s="4"/>
      <c r="B24" s="105" t="s">
        <v>252</v>
      </c>
      <c r="C24" s="4">
        <f>'Balance Sheet'!C27</f>
        <v>394.24</v>
      </c>
      <c r="D24" s="4">
        <f>'Balance Sheet'!D27</f>
        <v>320.36</v>
      </c>
      <c r="E24" s="4">
        <f>'Balance Sheet'!E27</f>
        <v>257.27</v>
      </c>
      <c r="F24" s="4">
        <f>'Balance Sheet'!F27</f>
        <v>331.93</v>
      </c>
      <c r="G24" s="4">
        <f>'Balance Sheet'!G27</f>
        <v>328.94</v>
      </c>
      <c r="H24" s="4">
        <f>'Balance Sheet'!H27</f>
        <v>393.33</v>
      </c>
      <c r="I24" s="4">
        <f>'Balance Sheet'!I27</f>
        <v>448.61</v>
      </c>
      <c r="J24" s="8">
        <f>J26*2-I24</f>
        <v>428.67910813491403</v>
      </c>
      <c r="K24" s="8">
        <f t="shared" ref="K24:P24" si="7">K26*2-J24</f>
        <v>522.88797141899829</v>
      </c>
      <c r="L24" s="8">
        <f t="shared" si="7"/>
        <v>517.30270878292879</v>
      </c>
      <c r="M24" s="8">
        <f t="shared" si="7"/>
        <v>629.45322568519271</v>
      </c>
      <c r="N24" s="8">
        <f t="shared" si="7"/>
        <v>646.53360276243791</v>
      </c>
      <c r="O24" s="8">
        <f t="shared" si="7"/>
        <v>787.62690933404349</v>
      </c>
      <c r="P24" s="8">
        <f t="shared" si="7"/>
        <v>842.09290689710895</v>
      </c>
    </row>
    <row r="25" spans="1:16" x14ac:dyDescent="0.3">
      <c r="A25" s="4"/>
    </row>
    <row r="26" spans="1:16" s="8" customFormat="1" x14ac:dyDescent="0.3">
      <c r="B26" s="8" t="s">
        <v>254</v>
      </c>
      <c r="D26" s="4">
        <f>AVERAGE(C24:D24)</f>
        <v>357.3</v>
      </c>
      <c r="E26" s="4">
        <f t="shared" ref="E26:I26" si="8">AVERAGE(D24:E24)</f>
        <v>288.815</v>
      </c>
      <c r="F26" s="4">
        <f t="shared" si="8"/>
        <v>294.60000000000002</v>
      </c>
      <c r="G26" s="4">
        <f t="shared" si="8"/>
        <v>330.435</v>
      </c>
      <c r="H26" s="4">
        <f t="shared" si="8"/>
        <v>361.13499999999999</v>
      </c>
      <c r="I26" s="4">
        <f t="shared" si="8"/>
        <v>420.97</v>
      </c>
      <c r="J26" s="4">
        <f>J28/J30</f>
        <v>438.64455406745702</v>
      </c>
      <c r="K26" s="4">
        <f t="shared" ref="K26:P26" si="9">K28/K30</f>
        <v>475.78353977695616</v>
      </c>
      <c r="L26" s="4">
        <f t="shared" si="9"/>
        <v>520.09534010096354</v>
      </c>
      <c r="M26" s="4">
        <f t="shared" si="9"/>
        <v>573.37796723406075</v>
      </c>
      <c r="N26" s="4">
        <f t="shared" si="9"/>
        <v>637.99341422381531</v>
      </c>
      <c r="O26" s="4">
        <f t="shared" si="9"/>
        <v>717.0802560482407</v>
      </c>
      <c r="P26" s="4">
        <f t="shared" si="9"/>
        <v>814.85990811557622</v>
      </c>
    </row>
    <row r="27" spans="1:16" x14ac:dyDescent="0.3">
      <c r="A27" s="4"/>
    </row>
    <row r="28" spans="1:16" x14ac:dyDescent="0.3">
      <c r="A28" s="4"/>
      <c r="B28" s="8" t="s">
        <v>255</v>
      </c>
      <c r="C28" s="4">
        <f>'Income Statement'!C10</f>
        <v>11054.669999999998</v>
      </c>
      <c r="D28" s="4">
        <f>'Income Statement'!D10</f>
        <v>11599.55</v>
      </c>
      <c r="E28" s="4">
        <f>'Income Statement'!E10</f>
        <v>13136.140000000001</v>
      </c>
      <c r="F28" s="4">
        <f>'Income Statement'!F10</f>
        <v>14136.26</v>
      </c>
      <c r="G28" s="4">
        <f>'Income Statement'!G10</f>
        <v>16300.55</v>
      </c>
      <c r="H28" s="4">
        <f>'Income Statement'!H10</f>
        <v>16769.27</v>
      </c>
      <c r="I28" s="4">
        <f>'Income Statement'!I10</f>
        <v>17942.670000000002</v>
      </c>
      <c r="J28" s="4">
        <f>'Income Statement'!J10</f>
        <v>19323.727247918367</v>
      </c>
      <c r="K28" s="4">
        <f>'Income Statement'!K10</f>
        <v>20959.821036066329</v>
      </c>
      <c r="L28" s="4">
        <f>'Income Statement'!L10</f>
        <v>22911.900767560404</v>
      </c>
      <c r="M28" s="4">
        <f>'Income Statement'!M10</f>
        <v>25259.174760193091</v>
      </c>
      <c r="N28" s="4">
        <f>'Income Statement'!N10</f>
        <v>28105.696532900038</v>
      </c>
      <c r="O28" s="4">
        <f>'Income Statement'!O10</f>
        <v>31589.73057856024</v>
      </c>
      <c r="P28" s="4">
        <f>'Income Statement'!P10</f>
        <v>35897.244052567665</v>
      </c>
    </row>
    <row r="29" spans="1:16" x14ac:dyDescent="0.3">
      <c r="A29" s="4"/>
      <c r="B29" s="8"/>
    </row>
    <row r="30" spans="1:16" x14ac:dyDescent="0.3">
      <c r="A30" s="4"/>
      <c r="B30" s="8" t="s">
        <v>256</v>
      </c>
      <c r="D30" s="4">
        <f t="shared" ref="D30:I30" si="10">D28/D26</f>
        <v>32.464455639518611</v>
      </c>
      <c r="E30" s="4">
        <f t="shared" si="10"/>
        <v>45.482886969167119</v>
      </c>
      <c r="F30" s="4">
        <f t="shared" si="10"/>
        <v>47.984589273591304</v>
      </c>
      <c r="G30" s="4">
        <f t="shared" si="10"/>
        <v>49.330579387776716</v>
      </c>
      <c r="H30" s="4">
        <f t="shared" si="10"/>
        <v>46.434906613870162</v>
      </c>
      <c r="I30" s="4">
        <f t="shared" si="10"/>
        <v>42.622205857899615</v>
      </c>
      <c r="J30" s="108">
        <f>AVERAGE(D30:I30)</f>
        <v>44.053270623637253</v>
      </c>
      <c r="K30" s="108">
        <v>44.053270623637253</v>
      </c>
      <c r="L30" s="108">
        <v>44.053270623637253</v>
      </c>
      <c r="M30" s="108">
        <v>44.053270623637253</v>
      </c>
      <c r="N30" s="108">
        <v>44.053270623637253</v>
      </c>
      <c r="O30" s="108">
        <v>44.053270623637253</v>
      </c>
      <c r="P30" s="108">
        <v>44.053270623637253</v>
      </c>
    </row>
    <row r="31" spans="1:16" x14ac:dyDescent="0.3">
      <c r="A31" s="4"/>
      <c r="B31" s="8"/>
    </row>
    <row r="32" spans="1:16" x14ac:dyDescent="0.3">
      <c r="A32" s="4"/>
      <c r="B32" s="8" t="s">
        <v>257</v>
      </c>
      <c r="D32" s="4">
        <f t="shared" ref="D32:I32" si="11">365/D30</f>
        <v>11.243065463746438</v>
      </c>
      <c r="E32" s="4">
        <f>365/E30</f>
        <v>8.0249963078956217</v>
      </c>
      <c r="F32" s="4">
        <f t="shared" si="11"/>
        <v>7.6066088201546957</v>
      </c>
      <c r="G32" s="4">
        <f t="shared" si="11"/>
        <v>7.3990616881025488</v>
      </c>
      <c r="H32" s="4">
        <f t="shared" si="11"/>
        <v>7.8604658998274815</v>
      </c>
      <c r="I32" s="4">
        <f t="shared" si="11"/>
        <v>8.5636112128239557</v>
      </c>
      <c r="J32" s="4">
        <f>365/J30</f>
        <v>8.2854234165341492</v>
      </c>
      <c r="K32" s="4">
        <f t="shared" ref="K32:P32" si="12">365/K30</f>
        <v>8.2854234165341492</v>
      </c>
      <c r="L32" s="4">
        <f t="shared" si="12"/>
        <v>8.2854234165341492</v>
      </c>
      <c r="M32" s="4">
        <f t="shared" si="12"/>
        <v>8.2854234165341492</v>
      </c>
      <c r="N32" s="4">
        <f t="shared" si="12"/>
        <v>8.2854234165341492</v>
      </c>
      <c r="O32" s="4">
        <f t="shared" si="12"/>
        <v>8.2854234165341492</v>
      </c>
      <c r="P32" s="4">
        <f t="shared" si="12"/>
        <v>8.2854234165341492</v>
      </c>
    </row>
    <row r="33" spans="1:16" x14ac:dyDescent="0.3">
      <c r="A33" s="4"/>
    </row>
    <row r="34" spans="1:16" x14ac:dyDescent="0.3">
      <c r="A34" s="4"/>
      <c r="B34" s="61" t="s">
        <v>258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</row>
    <row r="35" spans="1:16" x14ac:dyDescent="0.3">
      <c r="A35" s="4"/>
    </row>
    <row r="36" spans="1:16" x14ac:dyDescent="0.3">
      <c r="A36" s="4"/>
    </row>
    <row r="37" spans="1:16" x14ac:dyDescent="0.3">
      <c r="A37" s="4"/>
      <c r="B37" s="105" t="s">
        <v>258</v>
      </c>
      <c r="C37" s="4">
        <f>C52</f>
        <v>1140.51</v>
      </c>
      <c r="D37" s="4">
        <f t="shared" ref="D37:I37" si="13">D52</f>
        <v>1047</v>
      </c>
      <c r="E37" s="4">
        <f t="shared" si="13"/>
        <v>1314.75</v>
      </c>
      <c r="F37" s="4">
        <f t="shared" si="13"/>
        <v>1322.81</v>
      </c>
      <c r="G37" s="4">
        <f t="shared" si="13"/>
        <v>1448.8100000000002</v>
      </c>
      <c r="H37" s="4">
        <f t="shared" si="13"/>
        <v>1627.48</v>
      </c>
      <c r="I37" s="4">
        <f t="shared" si="13"/>
        <v>1752.23</v>
      </c>
      <c r="J37" s="8">
        <f>J39*2-I37</f>
        <v>1865.45975963211</v>
      </c>
      <c r="K37" s="8">
        <f t="shared" ref="K37:P37" si="14">K39*2-J37</f>
        <v>2181.1969240841095</v>
      </c>
      <c r="L37" s="8">
        <f t="shared" si="14"/>
        <v>2021.1656059796128</v>
      </c>
      <c r="M37" s="8">
        <f t="shared" si="14"/>
        <v>2774.27713131265</v>
      </c>
      <c r="N37" s="8">
        <f t="shared" si="14"/>
        <v>2832.89104761924</v>
      </c>
      <c r="O37" s="8">
        <f t="shared" si="14"/>
        <v>3367.702971381917</v>
      </c>
      <c r="P37" s="8">
        <f t="shared" si="14"/>
        <v>3447.3723394703034</v>
      </c>
    </row>
    <row r="38" spans="1:16" x14ac:dyDescent="0.3">
      <c r="A38" s="4"/>
    </row>
    <row r="39" spans="1:16" x14ac:dyDescent="0.3">
      <c r="A39" s="4"/>
      <c r="B39" s="8" t="s">
        <v>259</v>
      </c>
      <c r="D39" s="4">
        <f>AVERAGE(C52,D52)</f>
        <v>1093.7550000000001</v>
      </c>
      <c r="E39" s="4">
        <f t="shared" ref="E39:I39" si="15">AVERAGE(D52,E52)</f>
        <v>1180.875</v>
      </c>
      <c r="F39" s="4">
        <f t="shared" si="15"/>
        <v>1318.78</v>
      </c>
      <c r="G39" s="4">
        <f t="shared" si="15"/>
        <v>1385.81</v>
      </c>
      <c r="H39" s="4">
        <f t="shared" si="15"/>
        <v>1538.145</v>
      </c>
      <c r="I39" s="4">
        <f t="shared" si="15"/>
        <v>1689.855</v>
      </c>
      <c r="J39" s="4">
        <f>J41/J43</f>
        <v>1808.844879816055</v>
      </c>
      <c r="K39" s="4">
        <f t="shared" ref="K39:P39" si="16">K41/K43</f>
        <v>2023.3283418581098</v>
      </c>
      <c r="L39" s="4">
        <f t="shared" si="16"/>
        <v>2101.1812650318611</v>
      </c>
      <c r="M39" s="4">
        <f t="shared" si="16"/>
        <v>2397.7213686461314</v>
      </c>
      <c r="N39" s="4">
        <f t="shared" si="16"/>
        <v>2803.584089465945</v>
      </c>
      <c r="O39" s="4">
        <f t="shared" si="16"/>
        <v>3100.2970095005785</v>
      </c>
      <c r="P39" s="4">
        <f t="shared" si="16"/>
        <v>3407.5376554261102</v>
      </c>
    </row>
    <row r="40" spans="1:16" x14ac:dyDescent="0.3">
      <c r="A40" s="4"/>
    </row>
    <row r="41" spans="1:16" x14ac:dyDescent="0.3">
      <c r="A41" s="4"/>
      <c r="B41" s="8" t="s">
        <v>260</v>
      </c>
      <c r="C41" s="4">
        <f>'Income Statement'!C15</f>
        <v>1103.6300000000001</v>
      </c>
      <c r="D41" s="4">
        <f>'Income Statement'!D15</f>
        <v>973.74</v>
      </c>
      <c r="E41" s="4">
        <f>'Income Statement'!E15</f>
        <v>1160.8900000000001</v>
      </c>
      <c r="F41" s="4">
        <f>'Income Statement'!F15</f>
        <v>1361.59</v>
      </c>
      <c r="G41" s="4">
        <f>'Income Statement'!G15</f>
        <v>1337.13</v>
      </c>
      <c r="H41" s="4">
        <f>'Income Statement'!H15</f>
        <v>941.48</v>
      </c>
      <c r="I41" s="4">
        <f>'Income Statement'!I15</f>
        <v>809.35</v>
      </c>
      <c r="J41" s="4">
        <f>'Income Statement'!J15</f>
        <v>1495.8294937501294</v>
      </c>
      <c r="K41" s="4">
        <f>'Income Statement'!K15</f>
        <v>1673.1972116921829</v>
      </c>
      <c r="L41" s="4">
        <f>'Income Statement'!L15</f>
        <v>1737.5779111968318</v>
      </c>
      <c r="M41" s="4">
        <f>'Income Statement'!M15</f>
        <v>1982.802605705215</v>
      </c>
      <c r="N41" s="4">
        <f>'Income Statement'!N15</f>
        <v>2318.4319540204165</v>
      </c>
      <c r="O41" s="4">
        <f>'Income Statement'!O15</f>
        <v>2563.7995595663729</v>
      </c>
      <c r="P41" s="4">
        <f>'Income Statement'!P15</f>
        <v>2817.8730984211729</v>
      </c>
    </row>
    <row r="42" spans="1:16" x14ac:dyDescent="0.3">
      <c r="A42" s="4"/>
      <c r="B42" s="8"/>
    </row>
    <row r="43" spans="1:16" x14ac:dyDescent="0.3">
      <c r="A43" s="4"/>
      <c r="B43" s="8" t="s">
        <v>261</v>
      </c>
      <c r="D43" s="4">
        <f>D41/D39</f>
        <v>0.89027250161142113</v>
      </c>
      <c r="E43" s="4">
        <f t="shared" ref="E43:I43" si="17">E41/E39</f>
        <v>0.98307610881761409</v>
      </c>
      <c r="F43" s="4">
        <f t="shared" si="17"/>
        <v>1.0324618207737455</v>
      </c>
      <c r="G43" s="4">
        <f t="shared" si="17"/>
        <v>0.96487252942322554</v>
      </c>
      <c r="H43" s="4">
        <f t="shared" si="17"/>
        <v>0.61208793709305687</v>
      </c>
      <c r="I43" s="4">
        <f t="shared" si="17"/>
        <v>0.47894641847969205</v>
      </c>
      <c r="J43" s="108">
        <f>AVERAGE(D43:I43)</f>
        <v>0.82695288603312589</v>
      </c>
      <c r="K43" s="108">
        <v>0.82695288603312589</v>
      </c>
      <c r="L43" s="108">
        <v>0.82695288603312589</v>
      </c>
      <c r="M43" s="108">
        <v>0.82695288603312589</v>
      </c>
      <c r="N43" s="108">
        <v>0.82695288603312589</v>
      </c>
      <c r="O43" s="108">
        <v>0.82695288603312589</v>
      </c>
      <c r="P43" s="108">
        <v>0.82695288603312589</v>
      </c>
    </row>
    <row r="44" spans="1:16" x14ac:dyDescent="0.3">
      <c r="A44" s="4"/>
      <c r="B44" s="8"/>
    </row>
    <row r="45" spans="1:16" x14ac:dyDescent="0.3">
      <c r="A45" s="4"/>
      <c r="B45" s="8" t="s">
        <v>262</v>
      </c>
      <c r="D45" s="4">
        <f>365/D43</f>
        <v>409.9868291330335</v>
      </c>
      <c r="E45" s="4">
        <f>365/E43</f>
        <v>371.28356261144467</v>
      </c>
      <c r="F45" s="4">
        <f t="shared" ref="F45:I45" si="18">365/F43</f>
        <v>353.52396830176485</v>
      </c>
      <c r="G45" s="4">
        <f t="shared" si="18"/>
        <v>378.28831153290997</v>
      </c>
      <c r="H45" s="4">
        <f t="shared" si="18"/>
        <v>596.31954475931514</v>
      </c>
      <c r="I45" s="4">
        <f t="shared" si="18"/>
        <v>762.08942361154016</v>
      </c>
      <c r="J45" s="4">
        <f>365/J43</f>
        <v>441.37943789143378</v>
      </c>
      <c r="K45" s="4">
        <f t="shared" ref="K45:P45" si="19">365/K43</f>
        <v>441.37943789143378</v>
      </c>
      <c r="L45" s="4">
        <f t="shared" si="19"/>
        <v>441.37943789143378</v>
      </c>
      <c r="M45" s="4">
        <f t="shared" si="19"/>
        <v>441.37943789143378</v>
      </c>
      <c r="N45" s="4">
        <f t="shared" si="19"/>
        <v>441.37943789143378</v>
      </c>
      <c r="O45" s="4">
        <f t="shared" si="19"/>
        <v>441.37943789143378</v>
      </c>
      <c r="P45" s="4">
        <f t="shared" si="19"/>
        <v>441.37943789143378</v>
      </c>
    </row>
    <row r="46" spans="1:16" x14ac:dyDescent="0.3">
      <c r="A46" s="4"/>
    </row>
    <row r="47" spans="1:16" x14ac:dyDescent="0.3">
      <c r="A47" s="4"/>
      <c r="B47" s="8" t="s">
        <v>264</v>
      </c>
    </row>
    <row r="48" spans="1:16" x14ac:dyDescent="0.3">
      <c r="A48" s="4"/>
    </row>
    <row r="49" spans="1:16" ht="28.8" x14ac:dyDescent="0.3">
      <c r="A49" s="4"/>
      <c r="B49" s="51" t="s">
        <v>113</v>
      </c>
      <c r="C49" s="4">
        <f>'Balance Sheet'!C58</f>
        <v>1.78</v>
      </c>
      <c r="D49" s="4">
        <f>'Balance Sheet'!D58</f>
        <v>8.5299999999999994</v>
      </c>
      <c r="E49" s="4">
        <f>'Balance Sheet'!E58</f>
        <v>28.44</v>
      </c>
      <c r="F49" s="4">
        <f>'Balance Sheet'!F58</f>
        <v>62.76</v>
      </c>
      <c r="G49" s="4">
        <f>'Balance Sheet'!G58</f>
        <v>43.92</v>
      </c>
      <c r="H49" s="4">
        <f>'Balance Sheet'!H58</f>
        <v>30.83</v>
      </c>
      <c r="I49" s="4">
        <f>'Balance Sheet'!I58</f>
        <v>27.83</v>
      </c>
      <c r="J49" s="8">
        <f>J52*$J56</f>
        <v>38.354994786804447</v>
      </c>
      <c r="K49" s="8">
        <f t="shared" ref="K49:P49" si="20">K52*$J56</f>
        <v>44.846744198190898</v>
      </c>
      <c r="L49" s="8">
        <f t="shared" si="20"/>
        <v>41.55640231869954</v>
      </c>
      <c r="M49" s="8">
        <f t="shared" si="20"/>
        <v>57.040836372494162</v>
      </c>
      <c r="N49" s="8">
        <f t="shared" si="20"/>
        <v>58.245974378160291</v>
      </c>
      <c r="O49" s="8">
        <f t="shared" si="20"/>
        <v>69.242034969616668</v>
      </c>
      <c r="P49" s="8">
        <f t="shared" si="20"/>
        <v>70.880085955128507</v>
      </c>
    </row>
    <row r="50" spans="1:16" ht="28.8" x14ac:dyDescent="0.3">
      <c r="A50" s="4"/>
      <c r="B50" s="51" t="s">
        <v>119</v>
      </c>
      <c r="C50" s="4">
        <f>'Balance Sheet'!C59</f>
        <v>1138.73</v>
      </c>
      <c r="D50" s="4">
        <f>'Balance Sheet'!D59</f>
        <v>1038.47</v>
      </c>
      <c r="E50" s="4">
        <f>'Balance Sheet'!E59</f>
        <v>1286.31</v>
      </c>
      <c r="F50" s="4">
        <f>'Balance Sheet'!F59</f>
        <v>1260.05</v>
      </c>
      <c r="G50" s="4">
        <f>'Balance Sheet'!G59</f>
        <v>1404.89</v>
      </c>
      <c r="H50" s="4">
        <f>'Balance Sheet'!H59</f>
        <v>1596.65</v>
      </c>
      <c r="I50" s="4">
        <f>'Balance Sheet'!I59</f>
        <v>1724.4</v>
      </c>
      <c r="J50" s="8">
        <f>J52*$J57</f>
        <v>1827.1047648453055</v>
      </c>
      <c r="K50" s="8">
        <f t="shared" ref="K50:P50" si="21">K52*$J57</f>
        <v>2136.3501798859184</v>
      </c>
      <c r="L50" s="8">
        <f t="shared" si="21"/>
        <v>1979.6092036609132</v>
      </c>
      <c r="M50" s="8">
        <f t="shared" si="21"/>
        <v>2717.2362949401559</v>
      </c>
      <c r="N50" s="8">
        <f t="shared" si="21"/>
        <v>2774.6450732410794</v>
      </c>
      <c r="O50" s="8">
        <f t="shared" si="21"/>
        <v>3298.4609364123003</v>
      </c>
      <c r="P50" s="8">
        <f t="shared" si="21"/>
        <v>3376.492253515175</v>
      </c>
    </row>
    <row r="51" spans="1:16" ht="15" thickBot="1" x14ac:dyDescent="0.35">
      <c r="A51" s="4"/>
    </row>
    <row r="52" spans="1:16" x14ac:dyDescent="0.3">
      <c r="A52" s="4"/>
      <c r="B52" s="8" t="s">
        <v>265</v>
      </c>
      <c r="C52" s="109">
        <f>SUM(C49:C50)</f>
        <v>1140.51</v>
      </c>
      <c r="D52" s="109">
        <f t="shared" ref="D52:I52" si="22">SUM(D49:D50)</f>
        <v>1047</v>
      </c>
      <c r="E52" s="109">
        <f t="shared" si="22"/>
        <v>1314.75</v>
      </c>
      <c r="F52" s="109">
        <f t="shared" si="22"/>
        <v>1322.81</v>
      </c>
      <c r="G52" s="109">
        <f t="shared" si="22"/>
        <v>1448.8100000000002</v>
      </c>
      <c r="H52" s="109">
        <f t="shared" si="22"/>
        <v>1627.48</v>
      </c>
      <c r="I52" s="109">
        <f t="shared" si="22"/>
        <v>1752.23</v>
      </c>
      <c r="J52" s="109">
        <f>J37</f>
        <v>1865.45975963211</v>
      </c>
      <c r="K52" s="109">
        <f t="shared" ref="K52:P52" si="23">K37</f>
        <v>2181.1969240841095</v>
      </c>
      <c r="L52" s="109">
        <f t="shared" si="23"/>
        <v>2021.1656059796128</v>
      </c>
      <c r="M52" s="109">
        <f t="shared" si="23"/>
        <v>2774.27713131265</v>
      </c>
      <c r="N52" s="109">
        <f t="shared" si="23"/>
        <v>2832.89104761924</v>
      </c>
      <c r="O52" s="109">
        <f t="shared" si="23"/>
        <v>3367.702971381917</v>
      </c>
      <c r="P52" s="109">
        <f t="shared" si="23"/>
        <v>3447.3723394703034</v>
      </c>
    </row>
    <row r="53" spans="1:16" x14ac:dyDescent="0.3">
      <c r="A53" s="4"/>
    </row>
    <row r="54" spans="1:16" x14ac:dyDescent="0.3">
      <c r="A54" s="4"/>
      <c r="B54" s="8" t="s">
        <v>266</v>
      </c>
    </row>
    <row r="55" spans="1:16" x14ac:dyDescent="0.3">
      <c r="A55" s="4"/>
    </row>
    <row r="56" spans="1:16" ht="28.8" x14ac:dyDescent="0.3">
      <c r="A56" s="4"/>
      <c r="B56" s="51" t="s">
        <v>113</v>
      </c>
      <c r="C56" s="46">
        <f>C49/C52</f>
        <v>1.5607052985068084E-3</v>
      </c>
      <c r="D56" s="46">
        <f t="shared" ref="D56:I56" si="24">D49/D52</f>
        <v>8.1470869149952233E-3</v>
      </c>
      <c r="E56" s="46">
        <f t="shared" si="24"/>
        <v>2.1631488876212208E-2</v>
      </c>
      <c r="F56" s="46">
        <f t="shared" si="24"/>
        <v>4.7444455363960053E-2</v>
      </c>
      <c r="G56" s="46">
        <f t="shared" si="24"/>
        <v>3.0314533996866393E-2</v>
      </c>
      <c r="H56" s="46">
        <f t="shared" si="24"/>
        <v>1.8943397153882074E-2</v>
      </c>
      <c r="I56" s="46">
        <f t="shared" si="24"/>
        <v>1.5882618149443851E-2</v>
      </c>
      <c r="J56" s="46">
        <f>AVERAGE(C56:I56)</f>
        <v>2.0560612250552373E-2</v>
      </c>
      <c r="K56" s="55">
        <v>2.0560612250552373E-2</v>
      </c>
      <c r="L56" s="55">
        <v>2.0560612250552373E-2</v>
      </c>
      <c r="M56" s="55">
        <v>2.0560612250552373E-2</v>
      </c>
      <c r="N56" s="55">
        <v>2.0560612250552373E-2</v>
      </c>
      <c r="O56" s="55">
        <v>2.0560612250552373E-2</v>
      </c>
      <c r="P56" s="55">
        <v>2.0560612250552373E-2</v>
      </c>
    </row>
    <row r="57" spans="1:16" ht="28.8" x14ac:dyDescent="0.3">
      <c r="A57" s="4"/>
      <c r="B57" s="51" t="s">
        <v>119</v>
      </c>
      <c r="C57" s="46">
        <f>C50/C52</f>
        <v>0.99843929470149317</v>
      </c>
      <c r="D57" s="46">
        <f t="shared" ref="D57:I57" si="25">D50/D52</f>
        <v>0.99185291308500478</v>
      </c>
      <c r="E57" s="46">
        <f t="shared" si="25"/>
        <v>0.97836851112378775</v>
      </c>
      <c r="F57" s="46">
        <f t="shared" si="25"/>
        <v>0.95255554463603997</v>
      </c>
      <c r="G57" s="46">
        <f t="shared" si="25"/>
        <v>0.96968546600313354</v>
      </c>
      <c r="H57" s="46">
        <f t="shared" si="25"/>
        <v>0.98105660284611795</v>
      </c>
      <c r="I57" s="46">
        <f t="shared" si="25"/>
        <v>0.98411738185055619</v>
      </c>
      <c r="J57" s="46">
        <f>AVERAGE(C57:I57)</f>
        <v>0.97943938774944761</v>
      </c>
      <c r="K57" s="55">
        <v>0.97943938774944761</v>
      </c>
      <c r="L57" s="55">
        <v>0.97943938774944761</v>
      </c>
      <c r="M57" s="55">
        <v>0.97943938774944761</v>
      </c>
      <c r="N57" s="55">
        <v>0.97943938774944761</v>
      </c>
      <c r="O57" s="55">
        <v>0.97943938774944761</v>
      </c>
      <c r="P57" s="55">
        <v>0.97943938774944761</v>
      </c>
    </row>
    <row r="58" spans="1:16" ht="15" thickBot="1" x14ac:dyDescent="0.35">
      <c r="A58" s="4"/>
    </row>
    <row r="59" spans="1:16" x14ac:dyDescent="0.3">
      <c r="A59" s="4"/>
      <c r="B59" s="8" t="s">
        <v>265</v>
      </c>
      <c r="C59" s="110">
        <f>SUM(C56:C57)</f>
        <v>1</v>
      </c>
      <c r="D59" s="110">
        <f t="shared" ref="D59:P59" si="26">SUM(D56:D57)</f>
        <v>1</v>
      </c>
      <c r="E59" s="110">
        <f t="shared" si="26"/>
        <v>1</v>
      </c>
      <c r="F59" s="110">
        <f t="shared" si="26"/>
        <v>1</v>
      </c>
      <c r="G59" s="110">
        <f t="shared" si="26"/>
        <v>0.99999999999999989</v>
      </c>
      <c r="H59" s="110">
        <f t="shared" si="26"/>
        <v>1</v>
      </c>
      <c r="I59" s="110">
        <f t="shared" si="26"/>
        <v>1</v>
      </c>
      <c r="J59" s="110">
        <f t="shared" si="26"/>
        <v>1</v>
      </c>
      <c r="K59" s="110">
        <f t="shared" si="26"/>
        <v>1</v>
      </c>
      <c r="L59" s="110">
        <f>SUM(L56:L57)</f>
        <v>1</v>
      </c>
      <c r="M59" s="110">
        <f t="shared" si="26"/>
        <v>1</v>
      </c>
      <c r="N59" s="110">
        <f t="shared" si="26"/>
        <v>1</v>
      </c>
      <c r="O59" s="110">
        <f t="shared" si="26"/>
        <v>1</v>
      </c>
      <c r="P59" s="110">
        <f t="shared" si="26"/>
        <v>1</v>
      </c>
    </row>
    <row r="60" spans="1:16" x14ac:dyDescent="0.3">
      <c r="A60" s="4"/>
    </row>
    <row r="61" spans="1:16" x14ac:dyDescent="0.3">
      <c r="A61" s="4"/>
    </row>
    <row r="62" spans="1:16" x14ac:dyDescent="0.3">
      <c r="A62" s="4"/>
    </row>
    <row r="63" spans="1:16" x14ac:dyDescent="0.3">
      <c r="A63" s="4"/>
    </row>
    <row r="64" spans="1:16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BED2-34FE-4478-A698-86722BA2C497}">
  <sheetPr>
    <pageSetUpPr fitToPage="1"/>
  </sheetPr>
  <dimension ref="A1:P269"/>
  <sheetViews>
    <sheetView topLeftCell="A20" zoomScale="85" zoomScaleNormal="85" workbookViewId="0">
      <selection activeCell="Q15" sqref="Q15"/>
    </sheetView>
  </sheetViews>
  <sheetFormatPr defaultRowHeight="14.4" x14ac:dyDescent="0.3"/>
  <cols>
    <col min="1" max="1" width="3.88671875" style="3" customWidth="1"/>
    <col min="2" max="2" width="43.44140625" style="4" customWidth="1"/>
    <col min="3" max="9" width="10.5546875" style="4" bestFit="1" customWidth="1"/>
    <col min="10" max="10" width="10.33203125" style="4" bestFit="1" customWidth="1"/>
    <col min="11" max="11" width="11" style="4" customWidth="1"/>
    <col min="12" max="12" width="11.33203125" style="4" customWidth="1"/>
    <col min="13" max="14" width="10.33203125" style="4" bestFit="1" customWidth="1"/>
    <col min="15" max="16" width="10.21875" style="4" bestFit="1" customWidth="1"/>
    <col min="17" max="16384" width="8.88671875" style="4"/>
  </cols>
  <sheetData>
    <row r="1" spans="1:16" ht="30" customHeight="1" x14ac:dyDescent="0.7">
      <c r="B1" s="177" t="s">
        <v>60</v>
      </c>
      <c r="C1" s="177"/>
      <c r="D1" s="177"/>
    </row>
    <row r="2" spans="1:16" ht="21" customHeight="1" x14ac:dyDescent="0.5">
      <c r="B2" s="178" t="s">
        <v>269</v>
      </c>
      <c r="C2" s="178"/>
      <c r="D2" s="178"/>
    </row>
    <row r="3" spans="1:16" customFormat="1" ht="21" customHeight="1" x14ac:dyDescent="0.3"/>
    <row r="4" spans="1:16" ht="21" customHeight="1" x14ac:dyDescent="0.3">
      <c r="B4"/>
      <c r="C4"/>
      <c r="D4"/>
      <c r="E4"/>
      <c r="F4"/>
    </row>
    <row r="5" spans="1:16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6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6" x14ac:dyDescent="0.3">
      <c r="A7" s="4"/>
    </row>
    <row r="8" spans="1:16" x14ac:dyDescent="0.3">
      <c r="A8" s="4"/>
      <c r="B8" s="61" t="s">
        <v>273</v>
      </c>
    </row>
    <row r="9" spans="1:16" x14ac:dyDescent="0.3">
      <c r="A9" s="4"/>
    </row>
    <row r="10" spans="1:16" x14ac:dyDescent="0.3">
      <c r="A10" s="4"/>
      <c r="B10" s="4" t="s">
        <v>270</v>
      </c>
      <c r="C10" s="4">
        <f>CFS!C40</f>
        <v>116.88</v>
      </c>
      <c r="D10" s="4">
        <f>CFS!D40</f>
        <v>127.62</v>
      </c>
      <c r="E10" s="4">
        <f>CFS!E40</f>
        <v>233.43</v>
      </c>
      <c r="F10" s="4">
        <f>CFS!F40</f>
        <v>206.75</v>
      </c>
      <c r="G10" s="4">
        <f>CFS!G40</f>
        <v>174.68</v>
      </c>
      <c r="H10" s="4">
        <f>CFS!H40</f>
        <v>170.26</v>
      </c>
      <c r="I10" s="4">
        <f>CFS!I40</f>
        <v>151.36000000000001</v>
      </c>
      <c r="J10" s="4">
        <f ca="1">J16</f>
        <v>217.37389774641827</v>
      </c>
      <c r="K10" s="4">
        <f t="shared" ref="K10:O10" ca="1" si="0">K16</f>
        <v>573.46707132978327</v>
      </c>
      <c r="L10" s="4">
        <f t="shared" ca="1" si="0"/>
        <v>1088.579967227085</v>
      </c>
      <c r="M10" s="4">
        <f t="shared" ca="1" si="0"/>
        <v>1846.30692081138</v>
      </c>
      <c r="N10" s="4">
        <f t="shared" ca="1" si="0"/>
        <v>2840.0587024258207</v>
      </c>
      <c r="O10" s="4">
        <f t="shared" ca="1" si="0"/>
        <v>4267.4362197765704</v>
      </c>
      <c r="P10" s="4">
        <f ca="1">P16</f>
        <v>6506.7114386266439</v>
      </c>
    </row>
    <row r="11" spans="1:16" x14ac:dyDescent="0.3">
      <c r="A11" s="4"/>
      <c r="B11" s="4" t="s">
        <v>271</v>
      </c>
      <c r="C11" s="4">
        <f>C13-C10</f>
        <v>89.57</v>
      </c>
      <c r="D11" s="4">
        <f t="shared" ref="D11:I11" si="1">D13-D10</f>
        <v>151.77999999999997</v>
      </c>
      <c r="E11" s="4">
        <f t="shared" si="1"/>
        <v>79.44</v>
      </c>
      <c r="F11" s="4">
        <f t="shared" si="1"/>
        <v>16.080000000000013</v>
      </c>
      <c r="G11" s="4">
        <f t="shared" si="1"/>
        <v>41.180000000000007</v>
      </c>
      <c r="H11" s="4">
        <f t="shared" si="1"/>
        <v>43.920000000000016</v>
      </c>
      <c r="I11" s="4">
        <f t="shared" si="1"/>
        <v>75.72999999999999</v>
      </c>
    </row>
    <row r="12" spans="1:16" ht="15" thickBot="1" x14ac:dyDescent="0.35">
      <c r="A12" s="4"/>
    </row>
    <row r="13" spans="1:16" x14ac:dyDescent="0.3">
      <c r="A13" s="4"/>
      <c r="B13" s="8" t="s">
        <v>272</v>
      </c>
      <c r="C13" s="109">
        <f>'Income Statement'!C11</f>
        <v>206.45</v>
      </c>
      <c r="D13" s="109">
        <f>'Income Statement'!D11</f>
        <v>279.39999999999998</v>
      </c>
      <c r="E13" s="109">
        <f>'Income Statement'!E11</f>
        <v>312.87</v>
      </c>
      <c r="F13" s="109">
        <f>'Income Statement'!F11</f>
        <v>222.83</v>
      </c>
      <c r="G13" s="109">
        <f>'Income Statement'!G11</f>
        <v>215.86</v>
      </c>
      <c r="H13" s="109">
        <f>'Income Statement'!H11</f>
        <v>214.18</v>
      </c>
      <c r="I13" s="109">
        <f>'Income Statement'!I11</f>
        <v>227.09</v>
      </c>
      <c r="J13" s="109">
        <f ca="1">SUM(J10)</f>
        <v>217.37389774641827</v>
      </c>
      <c r="K13" s="109">
        <f t="shared" ref="K13:P13" ca="1" si="2">SUM(K10)</f>
        <v>573.46707132978327</v>
      </c>
      <c r="L13" s="109">
        <f t="shared" ca="1" si="2"/>
        <v>1088.579967227085</v>
      </c>
      <c r="M13" s="109">
        <f t="shared" ca="1" si="2"/>
        <v>1846.30692081138</v>
      </c>
      <c r="N13" s="109">
        <f t="shared" ca="1" si="2"/>
        <v>2840.0587024258207</v>
      </c>
      <c r="O13" s="109">
        <f t="shared" ca="1" si="2"/>
        <v>4267.4362197765704</v>
      </c>
      <c r="P13" s="109">
        <f t="shared" ca="1" si="2"/>
        <v>6506.7114386266439</v>
      </c>
    </row>
    <row r="14" spans="1:16" x14ac:dyDescent="0.3">
      <c r="A14" s="4"/>
    </row>
    <row r="15" spans="1:16" x14ac:dyDescent="0.3">
      <c r="A15" s="4"/>
    </row>
    <row r="16" spans="1:16" x14ac:dyDescent="0.3">
      <c r="A16" s="4"/>
      <c r="B16" s="4" t="s">
        <v>274</v>
      </c>
      <c r="C16" s="4">
        <f>C10</f>
        <v>116.88</v>
      </c>
      <c r="D16" s="4">
        <f t="shared" ref="D16:I16" si="3">D10</f>
        <v>127.62</v>
      </c>
      <c r="E16" s="4">
        <f t="shared" si="3"/>
        <v>233.43</v>
      </c>
      <c r="F16" s="4">
        <f t="shared" si="3"/>
        <v>206.75</v>
      </c>
      <c r="G16" s="4">
        <f t="shared" si="3"/>
        <v>174.68</v>
      </c>
      <c r="H16" s="4">
        <f t="shared" si="3"/>
        <v>170.26</v>
      </c>
      <c r="I16" s="4">
        <f t="shared" si="3"/>
        <v>151.36000000000001</v>
      </c>
      <c r="J16" s="4">
        <f ca="1">J24*J17</f>
        <v>217.37389774641792</v>
      </c>
      <c r="K16" s="4">
        <f t="shared" ref="K16:P16" ca="1" si="4">K24*K17</f>
        <v>573.46707132978338</v>
      </c>
      <c r="L16" s="4">
        <f t="shared" ca="1" si="4"/>
        <v>1088.5799672270841</v>
      </c>
      <c r="M16" s="4">
        <f t="shared" ca="1" si="4"/>
        <v>1846.3069208113805</v>
      </c>
      <c r="N16" s="4">
        <f t="shared" ca="1" si="4"/>
        <v>2840.0587024258225</v>
      </c>
      <c r="O16" s="4">
        <f t="shared" ca="1" si="4"/>
        <v>4267.4362197765704</v>
      </c>
      <c r="P16" s="4">
        <f t="shared" ca="1" si="4"/>
        <v>6506.7114386266439</v>
      </c>
    </row>
    <row r="17" spans="1:16" ht="28.8" x14ac:dyDescent="0.3">
      <c r="A17" s="4"/>
      <c r="B17" s="51" t="s">
        <v>275</v>
      </c>
      <c r="C17" s="46"/>
      <c r="D17" s="46">
        <f t="shared" ref="D17:I17" si="5">D16/D24</f>
        <v>9.2188668205311575E-2</v>
      </c>
      <c r="E17" s="46">
        <f t="shared" si="5"/>
        <v>0.1749594324667684</v>
      </c>
      <c r="F17" s="46">
        <f t="shared" si="5"/>
        <v>0.1866496944090856</v>
      </c>
      <c r="G17" s="46">
        <f t="shared" si="5"/>
        <v>0.1847605347774581</v>
      </c>
      <c r="H17" s="46">
        <f t="shared" si="5"/>
        <v>0.18768360772296108</v>
      </c>
      <c r="I17" s="46">
        <f t="shared" si="5"/>
        <v>0.23397200559578929</v>
      </c>
      <c r="J17" s="112">
        <f>AVERAGE(D17:I17)</f>
        <v>0.17670232386289567</v>
      </c>
      <c r="K17" s="113">
        <v>0.17670232386289567</v>
      </c>
      <c r="L17" s="113">
        <v>0.17670232386289567</v>
      </c>
      <c r="M17" s="113">
        <v>0.17670232386289567</v>
      </c>
      <c r="N17" s="113">
        <v>0.17670232386289567</v>
      </c>
      <c r="O17" s="113">
        <v>0.17670232386289567</v>
      </c>
      <c r="P17" s="113">
        <v>0.17670232386289567</v>
      </c>
    </row>
    <row r="18" spans="1:16" x14ac:dyDescent="0.3">
      <c r="A18" s="4"/>
      <c r="J18" s="4">
        <v>209.83200399368388</v>
      </c>
      <c r="K18" s="4">
        <v>573.4656099968206</v>
      </c>
      <c r="L18" s="4">
        <v>1088.5836741293442</v>
      </c>
      <c r="M18" s="4">
        <v>1846.3108093767778</v>
      </c>
      <c r="N18" s="4">
        <v>2840.0583734067332</v>
      </c>
      <c r="O18" s="4">
        <v>4267.4365683837968</v>
      </c>
      <c r="P18" s="4">
        <v>6506.7073128947959</v>
      </c>
    </row>
    <row r="19" spans="1:16" x14ac:dyDescent="0.3">
      <c r="A19" s="4"/>
    </row>
    <row r="20" spans="1:16" ht="28.8" x14ac:dyDescent="0.3">
      <c r="A20" s="4"/>
      <c r="B20" s="111" t="s">
        <v>275</v>
      </c>
    </row>
    <row r="21" spans="1:16" x14ac:dyDescent="0.3">
      <c r="A21" s="4"/>
    </row>
    <row r="22" spans="1:16" x14ac:dyDescent="0.3">
      <c r="A22" s="4"/>
      <c r="B22" s="4" t="s">
        <v>203</v>
      </c>
      <c r="D22" s="4">
        <f>C23</f>
        <v>1332.76</v>
      </c>
      <c r="E22" s="4">
        <f t="shared" ref="E22:P22" si="6">D23</f>
        <v>1435.9099999999999</v>
      </c>
      <c r="F22" s="4">
        <f t="shared" si="6"/>
        <v>1232.4799999999998</v>
      </c>
      <c r="G22" s="4">
        <f t="shared" si="6"/>
        <v>982.9</v>
      </c>
      <c r="H22" s="4">
        <f t="shared" si="6"/>
        <v>907.98</v>
      </c>
      <c r="I22" s="4">
        <f t="shared" si="6"/>
        <v>906.35</v>
      </c>
      <c r="J22" s="4">
        <f t="shared" si="6"/>
        <v>387.48</v>
      </c>
      <c r="K22" s="4">
        <f t="shared" ca="1" si="6"/>
        <v>2072.8599999999951</v>
      </c>
      <c r="L22" s="4">
        <f t="shared" ca="1" si="6"/>
        <v>4417.909999999998</v>
      </c>
      <c r="M22" s="4">
        <f t="shared" ca="1" si="6"/>
        <v>7903.1499999999969</v>
      </c>
      <c r="N22" s="4">
        <f t="shared" ca="1" si="6"/>
        <v>12994.220000000005</v>
      </c>
      <c r="O22" s="4">
        <f t="shared" ca="1" si="6"/>
        <v>19150.900000000001</v>
      </c>
      <c r="P22" s="4">
        <f t="shared" ca="1" si="6"/>
        <v>29149.949999999986</v>
      </c>
    </row>
    <row r="23" spans="1:16" x14ac:dyDescent="0.3">
      <c r="A23" s="4"/>
      <c r="B23" s="4" t="s">
        <v>208</v>
      </c>
      <c r="C23" s="4">
        <f>'Balance Sheet'!C16+SUM('Balance Sheet'!C28:C30)</f>
        <v>1332.76</v>
      </c>
      <c r="D23" s="4">
        <f>'Balance Sheet'!D16+SUM('Balance Sheet'!D28:D30)</f>
        <v>1435.9099999999999</v>
      </c>
      <c r="E23" s="4">
        <f>'Balance Sheet'!E16+SUM('Balance Sheet'!E28:E30)</f>
        <v>1232.4799999999998</v>
      </c>
      <c r="F23" s="4">
        <f>'Balance Sheet'!F16+SUM('Balance Sheet'!F28:F30)</f>
        <v>982.9</v>
      </c>
      <c r="G23" s="4">
        <f>'Balance Sheet'!G16+SUM('Balance Sheet'!G28:G30)</f>
        <v>907.98</v>
      </c>
      <c r="H23" s="4">
        <f>'Balance Sheet'!H16+SUM('Balance Sheet'!H28:H30)</f>
        <v>906.35</v>
      </c>
      <c r="I23" s="4">
        <f>'Balance Sheet'!I16+SUM('Balance Sheet'!I28:I30)</f>
        <v>387.48</v>
      </c>
      <c r="J23" s="4">
        <f ca="1">'Balance Sheet'!J16+SUM('Balance Sheet'!J28:J30)</f>
        <v>2072.8599999999965</v>
      </c>
      <c r="K23" s="4">
        <f ca="1">'Balance Sheet'!K16+SUM('Balance Sheet'!K28:K30)</f>
        <v>4417.9099999999944</v>
      </c>
      <c r="L23" s="4">
        <f ca="1">'Balance Sheet'!L16+SUM('Balance Sheet'!L28:L30)</f>
        <v>7903.1499999999969</v>
      </c>
      <c r="M23" s="4">
        <f ca="1">'Balance Sheet'!M16+SUM('Balance Sheet'!M28:M30)</f>
        <v>12994.219999999998</v>
      </c>
      <c r="N23" s="4">
        <f ca="1">'Balance Sheet'!N16+SUM('Balance Sheet'!N28:N30)</f>
        <v>19150.900000000001</v>
      </c>
      <c r="O23" s="4">
        <f ca="1">'Balance Sheet'!O16+SUM('Balance Sheet'!O28:O30)</f>
        <v>29149.95</v>
      </c>
      <c r="P23" s="4">
        <f ca="1">'Balance Sheet'!P16+SUM('Balance Sheet'!P28:P30)</f>
        <v>44496.069999999978</v>
      </c>
    </row>
    <row r="24" spans="1:16" s="8" customFormat="1" x14ac:dyDescent="0.3">
      <c r="B24" s="8" t="s">
        <v>276</v>
      </c>
      <c r="D24" s="8">
        <f>AVERAGE(D22:D23)</f>
        <v>1384.335</v>
      </c>
      <c r="E24" s="8">
        <f t="shared" ref="E24:I24" si="7">AVERAGE(E22:E23)</f>
        <v>1334.1949999999997</v>
      </c>
      <c r="F24" s="8">
        <f t="shared" si="7"/>
        <v>1107.6899999999998</v>
      </c>
      <c r="G24" s="8">
        <f t="shared" si="7"/>
        <v>945.44</v>
      </c>
      <c r="H24" s="8">
        <f t="shared" si="7"/>
        <v>907.16499999999996</v>
      </c>
      <c r="I24" s="8">
        <f t="shared" si="7"/>
        <v>646.91499999999996</v>
      </c>
      <c r="J24" s="8">
        <f t="shared" ref="J24" ca="1" si="8">AVERAGE(J22:J23)</f>
        <v>1230.1699999999983</v>
      </c>
      <c r="K24" s="8">
        <f t="shared" ref="K24" ca="1" si="9">AVERAGE(K22:K23)</f>
        <v>3245.3849999999948</v>
      </c>
      <c r="L24" s="8">
        <f t="shared" ref="L24" ca="1" si="10">AVERAGE(L22:L23)</f>
        <v>6160.529999999997</v>
      </c>
      <c r="M24" s="8">
        <f t="shared" ref="M24" ca="1" si="11">AVERAGE(M22:M23)</f>
        <v>10448.684999999998</v>
      </c>
      <c r="N24" s="8">
        <f t="shared" ref="N24" ca="1" si="12">AVERAGE(N22:N23)</f>
        <v>16072.560000000003</v>
      </c>
      <c r="O24" s="8">
        <f t="shared" ref="O24" ca="1" si="13">AVERAGE(O22:O23)</f>
        <v>24150.425000000003</v>
      </c>
      <c r="P24" s="8">
        <f t="shared" ref="P24" ca="1" si="14">AVERAGE(P22:P23)</f>
        <v>36823.00999999998</v>
      </c>
    </row>
    <row r="25" spans="1:16" x14ac:dyDescent="0.3">
      <c r="A25" s="4"/>
    </row>
    <row r="26" spans="1:16" x14ac:dyDescent="0.3">
      <c r="A26" s="4"/>
    </row>
    <row r="27" spans="1:16" x14ac:dyDescent="0.3">
      <c r="A27" s="4"/>
    </row>
    <row r="28" spans="1:16" x14ac:dyDescent="0.3">
      <c r="A28" s="4"/>
    </row>
    <row r="29" spans="1:16" x14ac:dyDescent="0.3">
      <c r="A29" s="4"/>
    </row>
    <row r="30" spans="1:16" x14ac:dyDescent="0.3">
      <c r="A30" s="4"/>
    </row>
    <row r="31" spans="1:16" x14ac:dyDescent="0.3">
      <c r="A31" s="4"/>
    </row>
    <row r="32" spans="1:16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</sheetData>
  <mergeCells count="2">
    <mergeCell ref="B1:D1"/>
    <mergeCell ref="B2:D2"/>
  </mergeCells>
  <pageMargins left="0.7" right="0.7" top="0.75" bottom="0.75" header="0.3" footer="0.3"/>
  <pageSetup scale="46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85AE-85F0-40B1-9190-895D1B838DF9}">
  <sheetPr>
    <pageSetUpPr fitToPage="1"/>
  </sheetPr>
  <dimension ref="A1:Q273"/>
  <sheetViews>
    <sheetView zoomScale="88" zoomScaleNormal="85" workbookViewId="0">
      <selection activeCell="I68" sqref="I68"/>
    </sheetView>
  </sheetViews>
  <sheetFormatPr defaultRowHeight="14.4" x14ac:dyDescent="0.3"/>
  <cols>
    <col min="1" max="1" width="3.88671875" style="3" customWidth="1"/>
    <col min="2" max="2" width="44.21875" style="4" customWidth="1"/>
    <col min="3" max="3" width="8.44140625" style="4" customWidth="1"/>
    <col min="4" max="5" width="7.77734375" style="4" customWidth="1"/>
    <col min="6" max="6" width="7.109375" style="4" customWidth="1"/>
    <col min="7" max="7" width="7" style="4" customWidth="1"/>
    <col min="8" max="8" width="7.6640625" style="4" customWidth="1"/>
    <col min="9" max="9" width="13.109375" style="4" bestFit="1" customWidth="1"/>
    <col min="10" max="10" width="8.5546875" style="4" customWidth="1"/>
    <col min="11" max="11" width="11" style="4" customWidth="1"/>
    <col min="12" max="12" width="11.33203125" style="4" customWidth="1"/>
    <col min="13" max="14" width="11.88671875" style="4" customWidth="1"/>
    <col min="15" max="15" width="9.109375" style="4" bestFit="1" customWidth="1"/>
    <col min="16" max="16" width="13.109375" style="4" bestFit="1" customWidth="1"/>
    <col min="17" max="16384" width="8.88671875" style="4"/>
  </cols>
  <sheetData>
    <row r="1" spans="1:17" ht="30" customHeight="1" x14ac:dyDescent="0.7">
      <c r="B1" s="177" t="s">
        <v>60</v>
      </c>
      <c r="C1" s="177"/>
      <c r="D1" s="177"/>
    </row>
    <row r="2" spans="1:17" ht="21" customHeight="1" x14ac:dyDescent="0.5">
      <c r="B2" s="178" t="s">
        <v>392</v>
      </c>
      <c r="C2" s="178"/>
      <c r="D2" s="178"/>
    </row>
    <row r="3" spans="1:17" customFormat="1" ht="21" customHeight="1" x14ac:dyDescent="0.3"/>
    <row r="4" spans="1:17" ht="21" customHeight="1" x14ac:dyDescent="0.3">
      <c r="B4"/>
      <c r="C4"/>
      <c r="D4"/>
      <c r="E4"/>
      <c r="F4"/>
    </row>
    <row r="5" spans="1:17" ht="15.6" x14ac:dyDescent="0.3">
      <c r="B5" s="5" t="s">
        <v>1</v>
      </c>
      <c r="C5" s="38">
        <v>2019</v>
      </c>
      <c r="D5" s="38">
        <v>2020</v>
      </c>
      <c r="E5" s="38">
        <v>2021</v>
      </c>
      <c r="F5" s="38">
        <v>2022</v>
      </c>
      <c r="G5" s="38">
        <v>2023</v>
      </c>
      <c r="H5" s="38">
        <v>2024</v>
      </c>
      <c r="I5" s="38">
        <v>2025</v>
      </c>
      <c r="J5" s="38">
        <v>2026</v>
      </c>
      <c r="K5" s="38">
        <v>2027</v>
      </c>
      <c r="L5" s="38">
        <v>2028</v>
      </c>
      <c r="M5" s="38">
        <v>2029</v>
      </c>
      <c r="N5" s="38">
        <v>2030</v>
      </c>
      <c r="O5" s="38">
        <v>2031</v>
      </c>
      <c r="P5" s="38">
        <v>2032</v>
      </c>
    </row>
    <row r="6" spans="1:17" ht="15.6" x14ac:dyDescent="0.3">
      <c r="B6" s="45"/>
      <c r="C6" s="6" t="s">
        <v>121</v>
      </c>
      <c r="D6" s="6" t="s">
        <v>121</v>
      </c>
      <c r="E6" s="6" t="s">
        <v>121</v>
      </c>
      <c r="F6" s="6" t="s">
        <v>121</v>
      </c>
      <c r="G6" s="6" t="s">
        <v>121</v>
      </c>
      <c r="H6" s="6" t="s">
        <v>121</v>
      </c>
      <c r="I6" s="6" t="s">
        <v>121</v>
      </c>
      <c r="J6" s="6" t="s">
        <v>122</v>
      </c>
      <c r="K6" s="6" t="s">
        <v>122</v>
      </c>
      <c r="L6" s="6" t="s">
        <v>122</v>
      </c>
      <c r="M6" s="6" t="s">
        <v>122</v>
      </c>
      <c r="N6" s="6" t="s">
        <v>122</v>
      </c>
      <c r="O6" s="6" t="s">
        <v>122</v>
      </c>
      <c r="P6" s="6" t="s">
        <v>122</v>
      </c>
    </row>
    <row r="7" spans="1:17" x14ac:dyDescent="0.3">
      <c r="A7" s="4"/>
      <c r="B7" s="57" t="s">
        <v>277</v>
      </c>
      <c r="C7"/>
      <c r="D7"/>
      <c r="E7"/>
      <c r="F7"/>
      <c r="G7"/>
      <c r="H7"/>
      <c r="I7" s="68">
        <f>'Income Statement'!I19+'Income Statement'!I27</f>
        <v>3065.3700000000026</v>
      </c>
      <c r="J7" s="68">
        <f ca="1">'Income Statement'!J19+'Income Statement'!J27</f>
        <v>4044.3812110526819</v>
      </c>
      <c r="K7" s="68">
        <f ca="1">'Income Statement'!K19+'Income Statement'!K27</f>
        <v>4311.8215863793321</v>
      </c>
      <c r="L7" s="68">
        <f ca="1">'Income Statement'!L19+'Income Statement'!L27</f>
        <v>5834.3923378417476</v>
      </c>
      <c r="M7" s="68">
        <f ca="1">'Income Statement'!M19+'Income Statement'!M27</f>
        <v>6548.8927247438269</v>
      </c>
      <c r="N7" s="68">
        <f ca="1">'Income Statement'!N19+'Income Statement'!N27</f>
        <v>7208.9469821329967</v>
      </c>
      <c r="O7" s="68">
        <f ca="1">'Income Statement'!O19+'Income Statement'!O27</f>
        <v>9476.0323314086654</v>
      </c>
      <c r="P7" s="68">
        <f ca="1">'Income Statement'!P19+'Income Statement'!P27</f>
        <v>13128.314691138379</v>
      </c>
      <c r="Q7"/>
    </row>
    <row r="8" spans="1:17" x14ac:dyDescent="0.3">
      <c r="A8" s="4"/>
      <c r="B8" s="57" t="s">
        <v>278</v>
      </c>
      <c r="C8"/>
      <c r="D8"/>
      <c r="E8"/>
      <c r="F8"/>
      <c r="G8"/>
      <c r="H8"/>
      <c r="I8" s="46">
        <f>'Cost Schedule '!I33</f>
        <v>0.25583191244357706</v>
      </c>
      <c r="J8" s="46">
        <f>'Cost Schedule '!J33</f>
        <v>0.25752762050024303</v>
      </c>
      <c r="K8" s="46">
        <f>'Cost Schedule '!K33</f>
        <v>0.25752762050024303</v>
      </c>
      <c r="L8" s="46">
        <f>'Cost Schedule '!L33</f>
        <v>0.25752762050024303</v>
      </c>
      <c r="M8" s="46">
        <f>'Cost Schedule '!M33</f>
        <v>0.25752762050024303</v>
      </c>
      <c r="N8" s="46">
        <f>'Cost Schedule '!N33</f>
        <v>0.25752762050024303</v>
      </c>
      <c r="O8" s="46">
        <f>'Cost Schedule '!O33</f>
        <v>0.25752762050024303</v>
      </c>
      <c r="P8" s="46">
        <f>'Cost Schedule '!P33</f>
        <v>0.25752762050024303</v>
      </c>
      <c r="Q8"/>
    </row>
    <row r="9" spans="1:17" x14ac:dyDescent="0.3">
      <c r="A9" s="4"/>
      <c r="B9" s="57"/>
      <c r="C9"/>
      <c r="D9"/>
      <c r="E9"/>
      <c r="F9"/>
      <c r="G9"/>
      <c r="H9"/>
      <c r="I9" s="68"/>
      <c r="J9" s="68"/>
      <c r="K9" s="68"/>
      <c r="L9" s="68"/>
      <c r="M9" s="68"/>
      <c r="N9" s="68"/>
      <c r="O9" s="68"/>
      <c r="P9" s="68"/>
      <c r="Q9"/>
    </row>
    <row r="10" spans="1:17" x14ac:dyDescent="0.3">
      <c r="A10" s="4"/>
      <c r="B10" s="57" t="s">
        <v>279</v>
      </c>
      <c r="C10"/>
      <c r="D10"/>
      <c r="E10"/>
      <c r="F10"/>
      <c r="G10"/>
      <c r="H10"/>
      <c r="I10" s="68">
        <f>I7*(1-I8)</f>
        <v>2281.150530552834</v>
      </c>
      <c r="J10" s="68">
        <f t="shared" ref="J10:P10" ca="1" si="0">J7*(1-J8)</f>
        <v>3002.8413413743938</v>
      </c>
      <c r="K10" s="68">
        <f t="shared" ca="1" si="0"/>
        <v>3201.4084332174798</v>
      </c>
      <c r="L10" s="68">
        <f t="shared" ca="1" si="0"/>
        <v>4331.8751620125122</v>
      </c>
      <c r="M10" s="68">
        <f t="shared" ca="1" si="0"/>
        <v>4862.3719644291959</v>
      </c>
      <c r="N10" s="68">
        <f t="shared" ca="1" si="0"/>
        <v>5352.4440195118777</v>
      </c>
      <c r="O10" s="68">
        <f t="shared" ca="1" si="0"/>
        <v>7035.6922733176216</v>
      </c>
      <c r="P10" s="68">
        <f t="shared" ca="1" si="0"/>
        <v>9747.4110475511297</v>
      </c>
      <c r="Q10"/>
    </row>
    <row r="11" spans="1:17" x14ac:dyDescent="0.3">
      <c r="A11" s="4"/>
      <c r="B11" s="57" t="s">
        <v>280</v>
      </c>
      <c r="C11"/>
      <c r="D11"/>
      <c r="E11"/>
      <c r="F11"/>
      <c r="G11"/>
      <c r="H11"/>
      <c r="I11" s="68">
        <f>-('Asset Schedule'!I16)</f>
        <v>-374.85</v>
      </c>
      <c r="J11" s="68">
        <f>-('Asset Schedule'!J16)</f>
        <v>-195.42541617219771</v>
      </c>
      <c r="K11" s="68">
        <f>-('Asset Schedule'!K16)</f>
        <v>-229.78572346600191</v>
      </c>
      <c r="L11" s="68">
        <f>-('Asset Schedule'!L16)</f>
        <v>-275.87597775325054</v>
      </c>
      <c r="M11" s="68">
        <f>-('Asset Schedule'!M16)</f>
        <v>-338.86670391190023</v>
      </c>
      <c r="N11" s="68">
        <f>-('Asset Schedule'!N16)</f>
        <v>-417.54530032842956</v>
      </c>
      <c r="O11" s="68">
        <f>-('Asset Schedule'!O16)</f>
        <v>-505.54574744201068</v>
      </c>
      <c r="P11" s="68">
        <f>-('Asset Schedule'!P16)</f>
        <v>-616.84704641885537</v>
      </c>
      <c r="Q11"/>
    </row>
    <row r="12" spans="1:17" x14ac:dyDescent="0.3">
      <c r="A12" s="4"/>
      <c r="B12" s="57" t="s">
        <v>281</v>
      </c>
      <c r="C12"/>
      <c r="D12"/>
      <c r="E12"/>
      <c r="F12"/>
      <c r="G12"/>
      <c r="H12"/>
      <c r="I12" s="68">
        <f>SUM(CFS!I18:I21)</f>
        <v>-4.1999999999999886</v>
      </c>
      <c r="J12" s="68">
        <f>SUM(CFS!J18:J21)</f>
        <v>-158.00867678437442</v>
      </c>
      <c r="K12" s="68">
        <f>SUM(CFS!K18:K21)</f>
        <v>122.47077520787377</v>
      </c>
      <c r="L12" s="68">
        <f>SUM(CFS!L18:L21)</f>
        <v>-200.89644481338041</v>
      </c>
      <c r="M12" s="68">
        <f>SUM(CFS!M18:M21)</f>
        <v>283.31177792285416</v>
      </c>
      <c r="N12" s="68">
        <f>SUM(CFS!N18:N21)</f>
        <v>-178.50204294135619</v>
      </c>
      <c r="O12" s="68">
        <f>SUM(CFS!O18:O21)</f>
        <v>174.57296549438502</v>
      </c>
      <c r="P12" s="68">
        <f>SUM(CFS!P18:P21)</f>
        <v>-288.7421708195277</v>
      </c>
      <c r="Q12"/>
    </row>
    <row r="13" spans="1:17" x14ac:dyDescent="0.3">
      <c r="A13" s="4"/>
      <c r="B13" s="57" t="s">
        <v>283</v>
      </c>
      <c r="C13"/>
      <c r="D13"/>
      <c r="E13"/>
      <c r="F13"/>
      <c r="G13"/>
      <c r="H13"/>
      <c r="I13" s="68">
        <f>CFS!I9</f>
        <v>313.33999999999997</v>
      </c>
      <c r="J13" s="68">
        <f>CFS!J9</f>
        <v>281.33106776994117</v>
      </c>
      <c r="K13" s="68">
        <f>CFS!K9</f>
        <v>273.68574635548083</v>
      </c>
      <c r="L13" s="68">
        <f>CFS!L9</f>
        <v>271.1068352036844</v>
      </c>
      <c r="M13" s="68">
        <f>CFS!M9</f>
        <v>274.63999371534027</v>
      </c>
      <c r="N13" s="68">
        <f>CFS!N9</f>
        <v>285.11669290909418</v>
      </c>
      <c r="O13" s="68">
        <f>CFS!O9</f>
        <v>302.69535155317465</v>
      </c>
      <c r="P13" s="68">
        <f>CFS!P9</f>
        <v>328.7986415152904</v>
      </c>
      <c r="Q13"/>
    </row>
    <row r="14" spans="1:17" x14ac:dyDescent="0.3">
      <c r="A14" s="4"/>
      <c r="B14" s="61" t="s">
        <v>282</v>
      </c>
      <c r="C14" s="96"/>
      <c r="D14" s="96"/>
      <c r="E14" s="96"/>
      <c r="F14" s="96"/>
      <c r="G14" s="96"/>
      <c r="H14" s="96"/>
      <c r="I14" s="116">
        <f>SUM(I10:I13)</f>
        <v>2215.4405305528339</v>
      </c>
      <c r="J14" s="116">
        <f t="shared" ref="J14:P14" ca="1" si="1">SUM(J10:J13)</f>
        <v>2930.7383161877624</v>
      </c>
      <c r="K14" s="116">
        <f t="shared" ca="1" si="1"/>
        <v>3367.7792313148325</v>
      </c>
      <c r="L14" s="116">
        <f t="shared" ca="1" si="1"/>
        <v>4126.2095746495661</v>
      </c>
      <c r="M14" s="116">
        <f t="shared" ca="1" si="1"/>
        <v>5081.4570321554902</v>
      </c>
      <c r="N14" s="116">
        <f t="shared" ca="1" si="1"/>
        <v>5041.5133691511865</v>
      </c>
      <c r="O14" s="116">
        <f t="shared" ca="1" si="1"/>
        <v>7007.4148429231709</v>
      </c>
      <c r="P14" s="116">
        <f t="shared" ca="1" si="1"/>
        <v>9170.6204718280369</v>
      </c>
      <c r="Q14"/>
    </row>
    <row r="15" spans="1:17" x14ac:dyDescent="0.3">
      <c r="A15" s="4"/>
      <c r="B15"/>
      <c r="C15"/>
      <c r="D15"/>
      <c r="E15"/>
      <c r="F15"/>
      <c r="G15"/>
      <c r="H15"/>
      <c r="I15" s="68"/>
      <c r="J15" s="68"/>
      <c r="K15" s="68"/>
      <c r="L15" s="68"/>
      <c r="M15" s="68"/>
      <c r="N15" s="68"/>
      <c r="O15" s="68"/>
      <c r="P15" s="68"/>
      <c r="Q15"/>
    </row>
    <row r="16" spans="1:17" x14ac:dyDescent="0.3">
      <c r="A16" s="4"/>
      <c r="B16" s="118" t="s">
        <v>289</v>
      </c>
      <c r="C16"/>
      <c r="D16"/>
      <c r="E16"/>
      <c r="F16"/>
      <c r="G16"/>
      <c r="H16"/>
      <c r="I16" s="68"/>
      <c r="J16" s="68"/>
      <c r="K16" s="68"/>
      <c r="L16" s="68"/>
      <c r="M16" s="68"/>
      <c r="N16" s="68"/>
      <c r="O16" s="68"/>
      <c r="P16" s="68"/>
      <c r="Q16"/>
    </row>
    <row r="17" spans="1:17" x14ac:dyDescent="0.3">
      <c r="A17" s="4"/>
      <c r="B17" s="57" t="s">
        <v>284</v>
      </c>
      <c r="C17"/>
      <c r="D17"/>
      <c r="E17"/>
      <c r="F17"/>
      <c r="G17"/>
      <c r="H17"/>
      <c r="I17" s="46">
        <v>6.7000000000000004E-2</v>
      </c>
      <c r="J17" s="46">
        <v>6.7000000000000004E-2</v>
      </c>
      <c r="K17" s="46">
        <v>6.7000000000000004E-2</v>
      </c>
      <c r="L17" s="46">
        <v>6.7000000000000004E-2</v>
      </c>
      <c r="M17" s="46">
        <v>6.7000000000000004E-2</v>
      </c>
      <c r="N17" s="46">
        <v>6.7000000000000004E-2</v>
      </c>
      <c r="O17" s="46">
        <v>6.7000000000000004E-2</v>
      </c>
      <c r="P17" s="46">
        <v>6.7000000000000004E-2</v>
      </c>
      <c r="Q17"/>
    </row>
    <row r="18" spans="1:17" x14ac:dyDescent="0.3">
      <c r="A18" s="4"/>
      <c r="B18" s="57" t="s">
        <v>285</v>
      </c>
      <c r="C18"/>
      <c r="D18"/>
      <c r="E18"/>
      <c r="F18"/>
      <c r="G18"/>
      <c r="H18"/>
      <c r="I18" s="46">
        <f>'Income Statement'!I32/'Income Statement'!I10</f>
        <v>0.12137881374399698</v>
      </c>
      <c r="J18" s="46">
        <f ca="1">'Income Statement'!J32/'Income Statement'!J10</f>
        <v>0.15061156686494379</v>
      </c>
      <c r="K18" s="46">
        <f ca="1">'Income Statement'!K32/'Income Statement'!K10</f>
        <v>0.14608948520959375</v>
      </c>
      <c r="L18" s="46">
        <f ca="1">'Income Statement'!L32/'Income Statement'!L10</f>
        <v>0.17999457198571286</v>
      </c>
      <c r="M18" s="46">
        <f ca="1">'Income Statement'!M32/'Income Statement'!M10</f>
        <v>0.18013607895212133</v>
      </c>
      <c r="N18" s="46">
        <f ca="1">'Income Statement'!N32/'Income Statement'!N10</f>
        <v>0.17346484105842941</v>
      </c>
      <c r="O18" s="46">
        <f ca="1">'Income Statement'!O32/'Income Statement'!O10</f>
        <v>0.19918057338242676</v>
      </c>
      <c r="P18" s="46">
        <f ca="1">'Income Statement'!P32/'Income Statement'!P10</f>
        <v>0.23860988286204063</v>
      </c>
      <c r="Q18"/>
    </row>
    <row r="19" spans="1:17" x14ac:dyDescent="0.3">
      <c r="A19" s="4"/>
      <c r="B19" s="57" t="s">
        <v>286</v>
      </c>
      <c r="C19"/>
      <c r="D19"/>
      <c r="E19"/>
      <c r="F19"/>
      <c r="G19"/>
      <c r="H19"/>
      <c r="I19" s="46">
        <f>I18-I17</f>
        <v>5.4378813743996973E-2</v>
      </c>
      <c r="J19" s="46">
        <f t="shared" ref="J19:P19" ca="1" si="2">J18-J17</f>
        <v>8.3611566864943782E-2</v>
      </c>
      <c r="K19" s="46">
        <f t="shared" ca="1" si="2"/>
        <v>7.9089485209593746E-2</v>
      </c>
      <c r="L19" s="46">
        <f t="shared" ca="1" si="2"/>
        <v>0.11299457198571286</v>
      </c>
      <c r="M19" s="46">
        <f t="shared" ca="1" si="2"/>
        <v>0.11313607895212133</v>
      </c>
      <c r="N19" s="46">
        <f t="shared" ca="1" si="2"/>
        <v>0.1064648410584294</v>
      </c>
      <c r="O19" s="46">
        <f t="shared" ca="1" si="2"/>
        <v>0.13218057338242675</v>
      </c>
      <c r="P19" s="46">
        <f t="shared" ca="1" si="2"/>
        <v>0.17160988286204062</v>
      </c>
      <c r="Q19"/>
    </row>
    <row r="20" spans="1:17" x14ac:dyDescent="0.3">
      <c r="A20" s="4"/>
      <c r="B20" s="57" t="s">
        <v>287</v>
      </c>
      <c r="C20"/>
      <c r="D20"/>
      <c r="E20"/>
      <c r="F20"/>
      <c r="G20"/>
      <c r="H20"/>
      <c r="I20" s="117">
        <v>0.52</v>
      </c>
      <c r="J20" s="117">
        <v>0.52</v>
      </c>
      <c r="K20" s="117">
        <v>0.52</v>
      </c>
      <c r="L20" s="117">
        <v>0.52</v>
      </c>
      <c r="M20" s="117">
        <v>0.52</v>
      </c>
      <c r="N20" s="117">
        <v>0.52</v>
      </c>
      <c r="O20" s="117">
        <v>0.52</v>
      </c>
      <c r="P20" s="117">
        <v>0.52</v>
      </c>
      <c r="Q20"/>
    </row>
    <row r="21" spans="1:17" x14ac:dyDescent="0.3">
      <c r="A21" s="4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3">
      <c r="A22" s="4"/>
      <c r="B22" s="61" t="s">
        <v>288</v>
      </c>
      <c r="C22" s="61"/>
      <c r="D22" s="61"/>
      <c r="E22" s="61"/>
      <c r="F22" s="61"/>
      <c r="G22" s="61"/>
      <c r="H22" s="61"/>
      <c r="I22" s="124">
        <f>I17+(I20*I19)</f>
        <v>9.5276983146878436E-2</v>
      </c>
      <c r="J22" s="124">
        <f t="shared" ref="J22:P22" ca="1" si="3">J17+(J20*J19)</f>
        <v>0.11047801476977077</v>
      </c>
      <c r="K22" s="124">
        <f t="shared" ca="1" si="3"/>
        <v>0.10812653230898875</v>
      </c>
      <c r="L22" s="124">
        <f t="shared" ca="1" si="3"/>
        <v>0.1257571774325707</v>
      </c>
      <c r="M22" s="124">
        <f t="shared" ca="1" si="3"/>
        <v>0.1258307610551031</v>
      </c>
      <c r="N22" s="124">
        <f t="shared" ca="1" si="3"/>
        <v>0.12236171735038329</v>
      </c>
      <c r="O22" s="124">
        <f t="shared" ca="1" si="3"/>
        <v>0.13573389815886192</v>
      </c>
      <c r="P22" s="124">
        <f t="shared" ca="1" si="3"/>
        <v>0.15623713908826115</v>
      </c>
      <c r="Q22"/>
    </row>
    <row r="23" spans="1:17" x14ac:dyDescent="0.3">
      <c r="A23" s="4"/>
      <c r="H23" s="8"/>
      <c r="I23" s="8"/>
      <c r="J23" s="8"/>
    </row>
    <row r="24" spans="1:17" s="8" customFormat="1" x14ac:dyDescent="0.3">
      <c r="B24" s="120" t="s">
        <v>290</v>
      </c>
      <c r="H24" s="4"/>
      <c r="I24" s="4"/>
      <c r="J24" s="4"/>
    </row>
    <row r="25" spans="1:17" x14ac:dyDescent="0.3">
      <c r="A25" s="4"/>
      <c r="B25" s="8" t="s">
        <v>291</v>
      </c>
      <c r="I25" s="46">
        <f>'Debt Schedule'!I30/'Debt Schedule'!I36</f>
        <v>0.11332740024657692</v>
      </c>
      <c r="J25" s="46">
        <f>'Debt Schedule'!J30/'Debt Schedule'!J36</f>
        <v>6.6369145069516702E-2</v>
      </c>
      <c r="K25" s="46">
        <f>'Debt Schedule'!K30/'Debt Schedule'!K36</f>
        <v>6.7079498033643672E-2</v>
      </c>
      <c r="L25" s="46">
        <f>'Debt Schedule'!L30/'Debt Schedule'!L36</f>
        <v>6.7095557637663047E-2</v>
      </c>
      <c r="M25" s="46">
        <f>'Debt Schedule'!M30/'Debt Schedule'!M36</f>
        <v>6.6748303552634641E-2</v>
      </c>
      <c r="N25" s="46">
        <f>'Debt Schedule'!N30/'Debt Schedule'!N36</f>
        <v>6.6244363041756835E-2</v>
      </c>
      <c r="O25" s="46">
        <f>'Debt Schedule'!O30/'Debt Schedule'!O36</f>
        <v>6.5716102441934376E-2</v>
      </c>
      <c r="P25" s="46">
        <f>'Debt Schedule'!P30/'Debt Schedule'!P36</f>
        <v>6.5239025256847244E-2</v>
      </c>
    </row>
    <row r="26" spans="1:17" x14ac:dyDescent="0.3">
      <c r="A26" s="4"/>
      <c r="B26" s="8" t="s">
        <v>278</v>
      </c>
      <c r="I26" s="46">
        <f>I8</f>
        <v>0.25583191244357706</v>
      </c>
      <c r="J26" s="46">
        <f t="shared" ref="J26:P26" si="4">J8</f>
        <v>0.25752762050024303</v>
      </c>
      <c r="K26" s="46">
        <f t="shared" si="4"/>
        <v>0.25752762050024303</v>
      </c>
      <c r="L26" s="46">
        <f t="shared" si="4"/>
        <v>0.25752762050024303</v>
      </c>
      <c r="M26" s="46">
        <f t="shared" si="4"/>
        <v>0.25752762050024303</v>
      </c>
      <c r="N26" s="46">
        <f t="shared" si="4"/>
        <v>0.25752762050024303</v>
      </c>
      <c r="O26" s="46">
        <f t="shared" si="4"/>
        <v>0.25752762050024303</v>
      </c>
      <c r="P26" s="46">
        <f t="shared" si="4"/>
        <v>0.25752762050024303</v>
      </c>
    </row>
    <row r="27" spans="1:17" x14ac:dyDescent="0.3">
      <c r="A27" s="4"/>
      <c r="I27" s="46"/>
      <c r="J27" s="46"/>
      <c r="K27" s="46"/>
      <c r="L27" s="46"/>
      <c r="M27" s="46"/>
      <c r="N27" s="46"/>
      <c r="O27" s="46"/>
      <c r="P27" s="46"/>
    </row>
    <row r="28" spans="1:17" x14ac:dyDescent="0.3">
      <c r="A28" s="4"/>
      <c r="B28" s="60" t="s">
        <v>292</v>
      </c>
      <c r="C28" s="60"/>
      <c r="D28" s="60"/>
      <c r="E28" s="60"/>
      <c r="F28" s="60"/>
      <c r="G28" s="60"/>
      <c r="H28" s="60"/>
      <c r="I28" s="119">
        <f>I25*(1-I26)</f>
        <v>8.4334634709236439E-2</v>
      </c>
      <c r="J28" s="119">
        <f t="shared" ref="J28:P28" si="5">J25*(1-J26)</f>
        <v>4.927725706512863E-2</v>
      </c>
      <c r="K28" s="119">
        <f t="shared" si="5"/>
        <v>4.9804674520688687E-2</v>
      </c>
      <c r="L28" s="119">
        <f t="shared" si="5"/>
        <v>4.9816598333098774E-2</v>
      </c>
      <c r="M28" s="119">
        <f t="shared" si="5"/>
        <v>4.9558771766296722E-2</v>
      </c>
      <c r="N28" s="119">
        <f t="shared" si="5"/>
        <v>4.9184609856058957E-2</v>
      </c>
      <c r="O28" s="119">
        <f t="shared" si="5"/>
        <v>4.8792390951512804E-2</v>
      </c>
      <c r="P28" s="119">
        <f t="shared" si="5"/>
        <v>4.8438174318696119E-2</v>
      </c>
    </row>
    <row r="29" spans="1:17" x14ac:dyDescent="0.3">
      <c r="A29" s="4"/>
      <c r="B29" s="8"/>
    </row>
    <row r="30" spans="1:17" x14ac:dyDescent="0.3">
      <c r="A30" s="4"/>
      <c r="B30" s="8" t="s">
        <v>293</v>
      </c>
      <c r="I30" s="8">
        <f>'Debt Schedule'!I36</f>
        <v>1224.77</v>
      </c>
      <c r="J30" s="8">
        <f>'Debt Schedule'!J36</f>
        <v>1876.4133476908596</v>
      </c>
      <c r="K30" s="8">
        <f>'Debt Schedule'!K36</f>
        <v>2798.9133412653855</v>
      </c>
      <c r="L30" s="8">
        <f>'Debt Schedule'!L36</f>
        <v>4172.4524943777269</v>
      </c>
      <c r="M30" s="8">
        <f>'Debt Schedule'!M36</f>
        <v>6301.2712872355114</v>
      </c>
      <c r="N30" s="8">
        <f>'Debt Schedule'!N36</f>
        <v>9700.0634749804649</v>
      </c>
      <c r="O30" s="8">
        <f>'Debt Schedule'!O36</f>
        <v>15240.729326476168</v>
      </c>
      <c r="P30" s="8">
        <f>'Debt Schedule'!P36</f>
        <v>24401.701049282849</v>
      </c>
    </row>
    <row r="31" spans="1:17" x14ac:dyDescent="0.3">
      <c r="A31" s="4"/>
      <c r="B31" s="8" t="s">
        <v>294</v>
      </c>
      <c r="I31" s="8">
        <f>'Balance Sheet'!I42</f>
        <v>4355.72</v>
      </c>
      <c r="J31" s="8">
        <f ca="1">'Balance Sheet'!J42</f>
        <v>5430.0643384797932</v>
      </c>
      <c r="K31" s="8">
        <f ca="1">'Balance Sheet'!K42</f>
        <v>6656.0413037239368</v>
      </c>
      <c r="L31" s="8">
        <f ca="1">'Balance Sheet'!L42</f>
        <v>8944.0265757600991</v>
      </c>
      <c r="M31" s="8">
        <f ca="1">'Balance Sheet'!M42</f>
        <v>11658.082774627672</v>
      </c>
      <c r="N31" s="8">
        <f ca="1">'Balance Sheet'!N42</f>
        <v>14697.400456543628</v>
      </c>
      <c r="O31" s="8">
        <f ca="1">'Balance Sheet'!O42</f>
        <v>19153.428606177637</v>
      </c>
      <c r="P31" s="8">
        <f ca="1">'Balance Sheet'!P42</f>
        <v>25882.833304630891</v>
      </c>
    </row>
    <row r="32" spans="1:17" ht="15" thickBot="1" x14ac:dyDescent="0.35">
      <c r="A32" s="4"/>
      <c r="B32" s="8"/>
    </row>
    <row r="33" spans="2:16" s="4" customFormat="1" ht="18.600000000000001" customHeight="1" x14ac:dyDescent="0.3">
      <c r="B33" s="8" t="s">
        <v>265</v>
      </c>
      <c r="I33" s="109">
        <f>SUM(I30:I31)</f>
        <v>5580.49</v>
      </c>
      <c r="J33" s="109">
        <f t="shared" ref="J33:P33" ca="1" si="6">SUM(J30:J31)</f>
        <v>7306.4776861706523</v>
      </c>
      <c r="K33" s="109">
        <f t="shared" ca="1" si="6"/>
        <v>9454.9546449893223</v>
      </c>
      <c r="L33" s="109">
        <f t="shared" ca="1" si="6"/>
        <v>13116.479070137826</v>
      </c>
      <c r="M33" s="109">
        <f t="shared" ca="1" si="6"/>
        <v>17959.354061863181</v>
      </c>
      <c r="N33" s="109">
        <f t="shared" ca="1" si="6"/>
        <v>24397.463931524093</v>
      </c>
      <c r="O33" s="109">
        <f t="shared" ca="1" si="6"/>
        <v>34394.157932653805</v>
      </c>
      <c r="P33" s="109">
        <f t="shared" ca="1" si="6"/>
        <v>50284.534353913739</v>
      </c>
    </row>
    <row r="34" spans="2:16" s="4" customFormat="1" ht="18.600000000000001" customHeight="1" x14ac:dyDescent="0.3">
      <c r="B34" s="8"/>
      <c r="I34" s="8"/>
      <c r="J34" s="8"/>
      <c r="K34" s="8"/>
      <c r="L34" s="8"/>
      <c r="M34" s="8"/>
      <c r="N34" s="8"/>
      <c r="O34" s="8"/>
      <c r="P34" s="8"/>
    </row>
    <row r="35" spans="2:16" s="4" customFormat="1" ht="18.600000000000001" customHeight="1" x14ac:dyDescent="0.3">
      <c r="B35" s="121" t="s">
        <v>296</v>
      </c>
      <c r="I35" s="75">
        <f>I30/I33</f>
        <v>0.21947355877351274</v>
      </c>
      <c r="J35" s="75">
        <f t="shared" ref="J35:P35" ca="1" si="7">J30/J33</f>
        <v>0.25681503842028341</v>
      </c>
      <c r="K35" s="75">
        <f t="shared" ca="1" si="7"/>
        <v>0.29602609915730022</v>
      </c>
      <c r="L35" s="75">
        <f t="shared" ca="1" si="7"/>
        <v>0.31810766228241183</v>
      </c>
      <c r="M35" s="75">
        <f t="shared" ca="1" si="7"/>
        <v>0.35086291330579128</v>
      </c>
      <c r="N35" s="75">
        <f t="shared" ca="1" si="7"/>
        <v>0.39758490891534676</v>
      </c>
      <c r="O35" s="75">
        <f t="shared" ca="1" si="7"/>
        <v>0.44311971109508175</v>
      </c>
      <c r="P35" s="75">
        <f t="shared" ca="1" si="7"/>
        <v>0.48527248711379622</v>
      </c>
    </row>
    <row r="36" spans="2:16" s="4" customFormat="1" ht="18.600000000000001" customHeight="1" x14ac:dyDescent="0.3">
      <c r="B36" s="121" t="s">
        <v>297</v>
      </c>
      <c r="I36" s="75">
        <f>I31/I33</f>
        <v>0.7805264412264874</v>
      </c>
      <c r="J36" s="75">
        <f t="shared" ref="J36:P36" ca="1" si="8">J31/J33</f>
        <v>0.74318496157971659</v>
      </c>
      <c r="K36" s="75">
        <f t="shared" ca="1" si="8"/>
        <v>0.70397390084269973</v>
      </c>
      <c r="L36" s="75">
        <f t="shared" ca="1" si="8"/>
        <v>0.68189233771758817</v>
      </c>
      <c r="M36" s="75">
        <f t="shared" ca="1" si="8"/>
        <v>0.64913708669420889</v>
      </c>
      <c r="N36" s="75">
        <f t="shared" ca="1" si="8"/>
        <v>0.60241509108465319</v>
      </c>
      <c r="O36" s="75">
        <f t="shared" ca="1" si="8"/>
        <v>0.55688028890491825</v>
      </c>
      <c r="P36" s="75">
        <f t="shared" ca="1" si="8"/>
        <v>0.51472751288620378</v>
      </c>
    </row>
    <row r="37" spans="2:16" s="4" customFormat="1" ht="18.600000000000001" customHeight="1" x14ac:dyDescent="0.3">
      <c r="B37" s="8"/>
      <c r="I37" s="50">
        <f>SUM(I35:I36)</f>
        <v>1.0000000000000002</v>
      </c>
      <c r="J37" s="50">
        <f t="shared" ref="J37:P37" ca="1" si="9">SUM(J35:J36)</f>
        <v>1</v>
      </c>
      <c r="K37" s="50">
        <f t="shared" ca="1" si="9"/>
        <v>1</v>
      </c>
      <c r="L37" s="50">
        <f t="shared" ca="1" si="9"/>
        <v>1</v>
      </c>
      <c r="M37" s="50">
        <f t="shared" ca="1" si="9"/>
        <v>1.0000000000000002</v>
      </c>
      <c r="N37" s="50">
        <f t="shared" ca="1" si="9"/>
        <v>1</v>
      </c>
      <c r="O37" s="50">
        <f t="shared" ca="1" si="9"/>
        <v>1</v>
      </c>
      <c r="P37" s="50">
        <f t="shared" ca="1" si="9"/>
        <v>1</v>
      </c>
    </row>
    <row r="38" spans="2:16" s="4" customFormat="1" x14ac:dyDescent="0.3"/>
    <row r="39" spans="2:16" s="4" customFormat="1" x14ac:dyDescent="0.3">
      <c r="B39" s="125" t="s">
        <v>295</v>
      </c>
      <c r="C39" s="126"/>
      <c r="D39" s="126"/>
      <c r="E39" s="126"/>
      <c r="F39" s="126"/>
      <c r="G39" s="126"/>
      <c r="H39" s="126"/>
      <c r="I39" s="127">
        <f>I35*I28+(I36*I22)</f>
        <v>9.2875426993929366E-2</v>
      </c>
      <c r="J39" s="127">
        <f t="shared" ref="J39:P39" ca="1" si="10">J35*J28+(J36*J22)</f>
        <v>9.4760739828502638E-2</v>
      </c>
      <c r="K39" s="127">
        <f t="shared" ca="1" si="10"/>
        <v>9.086174025231146E-2</v>
      </c>
      <c r="L39" s="127">
        <f t="shared" ca="1" si="10"/>
        <v>0.10159989734286509</v>
      </c>
      <c r="M39" s="127">
        <f t="shared" ca="1" si="10"/>
        <v>9.9069748689604414E-2</v>
      </c>
      <c r="N39" s="127">
        <f t="shared" ca="1" si="10"/>
        <v>9.3267603732563792E-2</v>
      </c>
      <c r="O39" s="127">
        <f t="shared" ca="1" si="10"/>
        <v>9.7208402602970409E-2</v>
      </c>
      <c r="P39" s="127">
        <f t="shared" ca="1" si="10"/>
        <v>0.10392526734624183</v>
      </c>
    </row>
    <row r="40" spans="2:16" s="4" customFormat="1" x14ac:dyDescent="0.3"/>
    <row r="41" spans="2:16" s="4" customFormat="1" x14ac:dyDescent="0.3">
      <c r="B41" s="8" t="s">
        <v>298</v>
      </c>
      <c r="I41" s="89">
        <f ca="1">AVERAGE(I39:O39)</f>
        <v>9.5663365634678157E-2</v>
      </c>
    </row>
    <row r="42" spans="2:16" s="4" customFormat="1" x14ac:dyDescent="0.3"/>
    <row r="43" spans="2:16" s="4" customFormat="1" x14ac:dyDescent="0.3">
      <c r="B43" s="120" t="s">
        <v>299</v>
      </c>
      <c r="I43" s="122">
        <f ca="1">NPV(I41,I14:P14)</f>
        <v>24131.311978380581</v>
      </c>
    </row>
    <row r="44" spans="2:16" s="4" customFormat="1" x14ac:dyDescent="0.3">
      <c r="B44" s="8"/>
    </row>
    <row r="45" spans="2:16" s="4" customFormat="1" x14ac:dyDescent="0.3">
      <c r="B45" s="8"/>
    </row>
    <row r="46" spans="2:16" s="4" customFormat="1" x14ac:dyDescent="0.3">
      <c r="B46" s="8" t="s">
        <v>300</v>
      </c>
      <c r="I46" s="53">
        <v>0.04</v>
      </c>
      <c r="P46" s="123">
        <f ca="1">P14*(1+I46)/(I41-I46)</f>
        <v>171341.51307515171</v>
      </c>
    </row>
    <row r="47" spans="2:16" s="4" customFormat="1" x14ac:dyDescent="0.3">
      <c r="B47" s="8" t="s">
        <v>301</v>
      </c>
    </row>
    <row r="48" spans="2:16" s="4" customFormat="1" x14ac:dyDescent="0.3">
      <c r="B48" s="8"/>
    </row>
    <row r="49" spans="2:9" s="4" customFormat="1" x14ac:dyDescent="0.3">
      <c r="B49" s="8" t="s">
        <v>302</v>
      </c>
      <c r="I49" s="123">
        <f ca="1">P46/(1+I41)^5</f>
        <v>108511.78138921535</v>
      </c>
    </row>
    <row r="50" spans="2:9" s="4" customFormat="1" x14ac:dyDescent="0.3">
      <c r="B50" s="8"/>
    </row>
    <row r="51" spans="2:9" s="4" customFormat="1" x14ac:dyDescent="0.3">
      <c r="B51" s="52" t="s">
        <v>303</v>
      </c>
      <c r="C51" s="52"/>
      <c r="D51" s="52"/>
      <c r="E51" s="52"/>
      <c r="F51" s="52"/>
      <c r="G51" s="52"/>
      <c r="H51" s="52"/>
      <c r="I51" s="128">
        <f ca="1">I43+I49</f>
        <v>132643.09336759592</v>
      </c>
    </row>
    <row r="52" spans="2:9" s="4" customFormat="1" ht="28.8" x14ac:dyDescent="0.3">
      <c r="B52" s="51" t="s">
        <v>304</v>
      </c>
      <c r="I52" s="4">
        <f>'Balance Sheet'!H28</f>
        <v>322.8</v>
      </c>
    </row>
    <row r="53" spans="2:9" s="4" customFormat="1" x14ac:dyDescent="0.3">
      <c r="B53" s="4" t="s">
        <v>305</v>
      </c>
      <c r="I53" s="4">
        <f>'Income Statement'!H41</f>
        <v>-5.59</v>
      </c>
    </row>
    <row r="54" spans="2:9" s="4" customFormat="1" x14ac:dyDescent="0.3">
      <c r="B54" s="4" t="s">
        <v>309</v>
      </c>
      <c r="I54" s="4">
        <f>-('Debt Schedule'!I35)</f>
        <v>-2041.21</v>
      </c>
    </row>
    <row r="55" spans="2:9" s="4" customFormat="1" x14ac:dyDescent="0.3">
      <c r="B55" s="52" t="s">
        <v>306</v>
      </c>
      <c r="C55" s="52"/>
      <c r="D55" s="52"/>
      <c r="E55" s="52"/>
      <c r="F55" s="52"/>
      <c r="G55" s="52"/>
      <c r="H55" s="52"/>
      <c r="I55" s="128">
        <f ca="1">SUM(I51:I54)</f>
        <v>130919.09336759591</v>
      </c>
    </row>
    <row r="56" spans="2:9" s="4" customFormat="1" x14ac:dyDescent="0.3"/>
    <row r="57" spans="2:9" s="4" customFormat="1" x14ac:dyDescent="0.3">
      <c r="B57" s="8" t="s">
        <v>307</v>
      </c>
      <c r="C57" s="8"/>
      <c r="D57" s="8"/>
      <c r="E57" s="8"/>
      <c r="F57" s="8"/>
      <c r="G57" s="8"/>
      <c r="H57" s="8"/>
      <c r="I57" s="8">
        <f>'Balance Sheet'!I40/1</f>
        <v>24.09</v>
      </c>
    </row>
    <row r="58" spans="2:9" s="4" customFormat="1" x14ac:dyDescent="0.3">
      <c r="B58" s="8" t="s">
        <v>308</v>
      </c>
      <c r="C58" s="8"/>
      <c r="D58" s="8"/>
      <c r="E58" s="8"/>
      <c r="F58" s="8"/>
      <c r="G58" s="8"/>
      <c r="H58" s="8"/>
      <c r="I58" s="123">
        <f ca="1">I55/I57</f>
        <v>5434.5825391280996</v>
      </c>
    </row>
    <row r="59" spans="2:9" s="4" customFormat="1" x14ac:dyDescent="0.3">
      <c r="B59" s="8" t="s">
        <v>310</v>
      </c>
      <c r="C59" s="8"/>
      <c r="D59" s="8"/>
      <c r="E59" s="8"/>
      <c r="F59" s="8"/>
      <c r="G59" s="8"/>
      <c r="H59" s="8"/>
      <c r="I59" s="123">
        <v>6014.5</v>
      </c>
    </row>
    <row r="60" spans="2:9" s="4" customFormat="1" x14ac:dyDescent="0.3">
      <c r="B60" s="8"/>
      <c r="C60" s="8"/>
      <c r="D60" s="8"/>
      <c r="E60" s="8"/>
      <c r="F60" s="8"/>
      <c r="G60" s="8"/>
      <c r="H60" s="8"/>
      <c r="I60" s="8"/>
    </row>
    <row r="61" spans="2:9" s="4" customFormat="1" x14ac:dyDescent="0.3"/>
    <row r="62" spans="2:9" s="4" customFormat="1" x14ac:dyDescent="0.3"/>
    <row r="63" spans="2:9" s="4" customFormat="1" x14ac:dyDescent="0.3"/>
    <row r="64" spans="2:9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pans="1:1" x14ac:dyDescent="0.3">
      <c r="A273" s="4"/>
    </row>
  </sheetData>
  <mergeCells count="2">
    <mergeCell ref="B1:D1"/>
    <mergeCell ref="B2:D2"/>
  </mergeCells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Dashboard</vt:lpstr>
      <vt:lpstr>About</vt:lpstr>
      <vt:lpstr>Balance Sheet</vt:lpstr>
      <vt:lpstr>Income Statement</vt:lpstr>
      <vt:lpstr>CFS</vt:lpstr>
      <vt:lpstr>RATIO ANALYSIS</vt:lpstr>
      <vt:lpstr>Assumption Sheet</vt:lpstr>
      <vt:lpstr>Revenue Schedule</vt:lpstr>
      <vt:lpstr>Cost Schedule </vt:lpstr>
      <vt:lpstr>Asset Schedule</vt:lpstr>
      <vt:lpstr>Sheet1</vt:lpstr>
      <vt:lpstr>Debt Schedule</vt:lpstr>
      <vt:lpstr>Working Capital Schedule</vt:lpstr>
      <vt:lpstr>Other Schedule</vt:lpstr>
      <vt:lpstr>DCF</vt:lpstr>
      <vt:lpstr>'Balance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Sakhare</dc:creator>
  <cp:lastModifiedBy>Shreya Sakhare</cp:lastModifiedBy>
  <cp:lastPrinted>2026-02-21T12:49:01Z</cp:lastPrinted>
  <dcterms:created xsi:type="dcterms:W3CDTF">2026-02-15T07:11:30Z</dcterms:created>
  <dcterms:modified xsi:type="dcterms:W3CDTF">2026-02-27T12:30:11Z</dcterms:modified>
</cp:coreProperties>
</file>